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SQL ÇALIŞMALARI GİTHUB\"/>
    </mc:Choice>
  </mc:AlternateContent>
  <bookViews>
    <workbookView xWindow="0" yWindow="0" windowWidth="17256" windowHeight="5700" activeTab="3"/>
  </bookViews>
  <sheets>
    <sheet name="DASHBOARD" sheetId="6" r:id="rId1"/>
    <sheet name="PİVOT TABLE" sheetId="5" r:id="rId2"/>
    <sheet name="Sayfa1" sheetId="1" r:id="rId3"/>
    <sheet name="Sayfa8" sheetId="8" r:id="rId4"/>
    <sheet name="Sayfa7" sheetId="7" r:id="rId5"/>
  </sheets>
  <definedNames>
    <definedName name="Dilimleyici_gösterge">#N/A</definedName>
    <definedName name="Dilimleyici_musteri_unvani">#N/A</definedName>
  </definedNames>
  <calcPr calcId="162913"/>
  <pivotCaches>
    <pivotCache cacheId="16" r:id="rId6"/>
    <pivotCache cacheId="2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</calcChain>
</file>

<file path=xl/sharedStrings.xml><?xml version="1.0" encoding="utf-8"?>
<sst xmlns="http://schemas.openxmlformats.org/spreadsheetml/2006/main" count="227" uniqueCount="147">
  <si>
    <t>sehir</t>
  </si>
  <si>
    <t>Toplam_Ciro</t>
  </si>
  <si>
    <t>toplam_kar</t>
  </si>
  <si>
    <t>Samsun</t>
  </si>
  <si>
    <t>Balikesir</t>
  </si>
  <si>
    <t>Gaziantep</t>
  </si>
  <si>
    <t>Aydin</t>
  </si>
  <si>
    <t>Eskisehir</t>
  </si>
  <si>
    <t>Adana</t>
  </si>
  <si>
    <t>Sakarya</t>
  </si>
  <si>
    <t>Denizli</t>
  </si>
  <si>
    <t>Bursa</t>
  </si>
  <si>
    <t>Kayseri</t>
  </si>
  <si>
    <t>Trabzon</t>
  </si>
  <si>
    <t>Antalya</t>
  </si>
  <si>
    <t>Mugla</t>
  </si>
  <si>
    <t>Istanbul</t>
  </si>
  <si>
    <t>Ankara</t>
  </si>
  <si>
    <t>Izmir</t>
  </si>
  <si>
    <t>Satır Etiketleri</t>
  </si>
  <si>
    <t>Genel Toplam</t>
  </si>
  <si>
    <t>Toplam Toplam_Ciro</t>
  </si>
  <si>
    <t>Toplam toplam_kar</t>
  </si>
  <si>
    <t>kar_marji_ham</t>
  </si>
  <si>
    <t>Zonguldak</t>
  </si>
  <si>
    <t>NULL</t>
  </si>
  <si>
    <t>Tekirdag</t>
  </si>
  <si>
    <t>Afyon</t>
  </si>
  <si>
    <t>Bolu</t>
  </si>
  <si>
    <t>Kocaeli</t>
  </si>
  <si>
    <t>Konya</t>
  </si>
  <si>
    <t>Manisa</t>
  </si>
  <si>
    <t>Mersin</t>
  </si>
  <si>
    <t>Duzce</t>
  </si>
  <si>
    <t>Hatay</t>
  </si>
  <si>
    <t>Isparta</t>
  </si>
  <si>
    <t>gösterge</t>
  </si>
  <si>
    <t>Toplam Gercek_Kar_Marji</t>
  </si>
  <si>
    <t>ad</t>
  </si>
  <si>
    <t>soyad</t>
  </si>
  <si>
    <t>ciro</t>
  </si>
  <si>
    <t>musteri_unvani</t>
  </si>
  <si>
    <t>Mert</t>
  </si>
  <si>
    <t>Kaya</t>
  </si>
  <si>
    <t>SAMPİYON - En Değerli Müşteri</t>
  </si>
  <si>
    <t>Can</t>
  </si>
  <si>
    <t>Yilmaz</t>
  </si>
  <si>
    <t>V.I.P. Destekçiler</t>
  </si>
  <si>
    <t>Asli</t>
  </si>
  <si>
    <t>Demir</t>
  </si>
  <si>
    <t>Derya</t>
  </si>
  <si>
    <t>Kilic</t>
  </si>
  <si>
    <t>Okan</t>
  </si>
  <si>
    <t>Yener</t>
  </si>
  <si>
    <t>Ece</t>
  </si>
  <si>
    <t>Bulut</t>
  </si>
  <si>
    <t>Sadık Kitle</t>
  </si>
  <si>
    <t>Burak</t>
  </si>
  <si>
    <t>Arslan</t>
  </si>
  <si>
    <t>Gokhan</t>
  </si>
  <si>
    <t>Tekin</t>
  </si>
  <si>
    <t>Dilek</t>
  </si>
  <si>
    <t>Gunes</t>
  </si>
  <si>
    <t>Zeynep</t>
  </si>
  <si>
    <t>Hakan</t>
  </si>
  <si>
    <t>Celik</t>
  </si>
  <si>
    <t>Gelişmekte Olanlar</t>
  </si>
  <si>
    <t>Selin</t>
  </si>
  <si>
    <t>Ozturk</t>
  </si>
  <si>
    <t>Gozde</t>
  </si>
  <si>
    <t>Mutlu</t>
  </si>
  <si>
    <t>Merve</t>
  </si>
  <si>
    <t>Yildiz</t>
  </si>
  <si>
    <t>Serkan</t>
  </si>
  <si>
    <t>Turan</t>
  </si>
  <si>
    <t>Emre</t>
  </si>
  <si>
    <t>Sahin</t>
  </si>
  <si>
    <t>Sinem</t>
  </si>
  <si>
    <t>Kara</t>
  </si>
  <si>
    <t>Murat</t>
  </si>
  <si>
    <t>Koc</t>
  </si>
  <si>
    <t>Pinar</t>
  </si>
  <si>
    <t>Basar</t>
  </si>
  <si>
    <t>Bora</t>
  </si>
  <si>
    <t>Aksu</t>
  </si>
  <si>
    <t>Kerem</t>
  </si>
  <si>
    <t>Inan</t>
  </si>
  <si>
    <t>Potansiyel Müşteri</t>
  </si>
  <si>
    <t>Ceren</t>
  </si>
  <si>
    <t>Uysal</t>
  </si>
  <si>
    <t>Fatih</t>
  </si>
  <si>
    <t>Ozcan</t>
  </si>
  <si>
    <t>Gizem</t>
  </si>
  <si>
    <t>Oral</t>
  </si>
  <si>
    <t>Levent</t>
  </si>
  <si>
    <t>Erdem</t>
  </si>
  <si>
    <t>Tugba</t>
  </si>
  <si>
    <t>Sert</t>
  </si>
  <si>
    <t>Yasin</t>
  </si>
  <si>
    <t>Dal</t>
  </si>
  <si>
    <t>Berna</t>
  </si>
  <si>
    <t>Onur</t>
  </si>
  <si>
    <t>Gok</t>
  </si>
  <si>
    <t>Simge</t>
  </si>
  <si>
    <t>Ak</t>
  </si>
  <si>
    <t>Umut</t>
  </si>
  <si>
    <t>Tas</t>
  </si>
  <si>
    <t>Ezgi</t>
  </si>
  <si>
    <t>Yaz</t>
  </si>
  <si>
    <t>Kaan</t>
  </si>
  <si>
    <t>Kurt</t>
  </si>
  <si>
    <t>Idil</t>
  </si>
  <si>
    <t>Sener</t>
  </si>
  <si>
    <t>Ferit</t>
  </si>
  <si>
    <t>Alkan</t>
  </si>
  <si>
    <t>Nihal</t>
  </si>
  <si>
    <t>Erdog</t>
  </si>
  <si>
    <t>Sarp</t>
  </si>
  <si>
    <t>Uzun</t>
  </si>
  <si>
    <t>Damla</t>
  </si>
  <si>
    <t>Kose</t>
  </si>
  <si>
    <t>Alp</t>
  </si>
  <si>
    <t>Ozsoy</t>
  </si>
  <si>
    <t>Melis</t>
  </si>
  <si>
    <t>Varol</t>
  </si>
  <si>
    <t>Engin</t>
  </si>
  <si>
    <t>Yurt</t>
  </si>
  <si>
    <t>Burcu</t>
  </si>
  <si>
    <t>Esen</t>
  </si>
  <si>
    <t>Tolga</t>
  </si>
  <si>
    <t>Aksoy</t>
  </si>
  <si>
    <t>Sila</t>
  </si>
  <si>
    <t>Ucar</t>
  </si>
  <si>
    <t>Batuhan</t>
  </si>
  <si>
    <t>Dem</t>
  </si>
  <si>
    <t>Asiye</t>
  </si>
  <si>
    <t>Bal</t>
  </si>
  <si>
    <t>Cem</t>
  </si>
  <si>
    <t>Yaman</t>
  </si>
  <si>
    <t>Lale</t>
  </si>
  <si>
    <t>Gul</t>
  </si>
  <si>
    <t>Taner</t>
  </si>
  <si>
    <t>Saka</t>
  </si>
  <si>
    <t>Fulya</t>
  </si>
  <si>
    <t>Asas</t>
  </si>
  <si>
    <t>Say ad</t>
  </si>
  <si>
    <t>Say soyad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</si>
</sst>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 applyAlignment="1">
      <alignment horizontal="center"/>
    </xf>
  </cellXfs>
  <cellStyles count="2">
    <cellStyle name="Normal" xfId="0" builtinId="0"/>
    <cellStyle name="Yüzde" xfId="1" builtinId="5"/>
  </cellStyles>
  <dxfs count="27">
    <dxf>
      <numFmt numFmtId="164" formatCode="&quot;₺&quot;#,##0.00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64" formatCode="&quot;₺&quot;#,##0.00"/>
    </dxf>
    <dxf>
      <numFmt numFmtId="13" formatCode="0%"/>
    </dxf>
    <dxf>
      <numFmt numFmtId="13" formatCode="0%"/>
    </dxf>
    <dxf>
      <numFmt numFmtId="164" formatCode="&quot;₺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&quot;₺&quot;#,##0.00"/>
    </dxf>
    <dxf>
      <numFmt numFmtId="164" formatCode="&quot;₺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[e_ticaret_analiz2026.xlsx]PİVOT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Şehir Bazlı Satış Performansı ve Kârlılık Analizi (TL)</a:t>
            </a:r>
            <a:endParaRPr lang="tr-TR"/>
          </a:p>
        </c:rich>
      </c:tx>
      <c:layout>
        <c:manualLayout>
          <c:xMode val="edge"/>
          <c:yMode val="edge"/>
          <c:x val="1.2204294605095766E-2"/>
          <c:y val="0.12629728623371619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'PİVOT TABLE'!$B$3</c:f>
              <c:strCache>
                <c:ptCount val="1"/>
                <c:pt idx="0">
                  <c:v>Toplam Toplam_Ciro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'PİVOT TABLE'!$A$4:$A$20</c:f>
              <c:strCache>
                <c:ptCount val="16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Aydin</c:v>
                </c:pt>
                <c:pt idx="4">
                  <c:v>Balikesir</c:v>
                </c:pt>
                <c:pt idx="5">
                  <c:v>Bursa</c:v>
                </c:pt>
                <c:pt idx="6">
                  <c:v>Denizli</c:v>
                </c:pt>
                <c:pt idx="7">
                  <c:v>Eskisehir</c:v>
                </c:pt>
                <c:pt idx="8">
                  <c:v>Gaziantep</c:v>
                </c:pt>
                <c:pt idx="9">
                  <c:v>Istanbul</c:v>
                </c:pt>
                <c:pt idx="10">
                  <c:v>Izmir</c:v>
                </c:pt>
                <c:pt idx="11">
                  <c:v>Kayseri</c:v>
                </c:pt>
                <c:pt idx="12">
                  <c:v>Mugla</c:v>
                </c:pt>
                <c:pt idx="13">
                  <c:v>Sakarya</c:v>
                </c:pt>
                <c:pt idx="14">
                  <c:v>Samsun</c:v>
                </c:pt>
                <c:pt idx="15">
                  <c:v>Trabzon</c:v>
                </c:pt>
              </c:strCache>
            </c:strRef>
          </c:cat>
          <c:val>
            <c:numRef>
              <c:f>'PİVOT TABLE'!$B$4:$B$20</c:f>
              <c:numCache>
                <c:formatCode>"₺"#,##0.00</c:formatCode>
                <c:ptCount val="16"/>
                <c:pt idx="0">
                  <c:v>4200</c:v>
                </c:pt>
                <c:pt idx="1">
                  <c:v>44200</c:v>
                </c:pt>
                <c:pt idx="2">
                  <c:v>13000</c:v>
                </c:pt>
                <c:pt idx="3">
                  <c:v>1950</c:v>
                </c:pt>
                <c:pt idx="4">
                  <c:v>950</c:v>
                </c:pt>
                <c:pt idx="5">
                  <c:v>19600</c:v>
                </c:pt>
                <c:pt idx="6">
                  <c:v>2900</c:v>
                </c:pt>
                <c:pt idx="7">
                  <c:v>8900</c:v>
                </c:pt>
                <c:pt idx="8">
                  <c:v>3800</c:v>
                </c:pt>
                <c:pt idx="9">
                  <c:v>87500</c:v>
                </c:pt>
                <c:pt idx="10">
                  <c:v>77900</c:v>
                </c:pt>
                <c:pt idx="11">
                  <c:v>9800</c:v>
                </c:pt>
                <c:pt idx="12">
                  <c:v>19500</c:v>
                </c:pt>
                <c:pt idx="13">
                  <c:v>5800</c:v>
                </c:pt>
                <c:pt idx="14">
                  <c:v>2400</c:v>
                </c:pt>
                <c:pt idx="15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ED-41B0-82EC-DBA4799B7318}"/>
            </c:ext>
          </c:extLst>
        </c:ser>
        <c:ser>
          <c:idx val="1"/>
          <c:order val="1"/>
          <c:tx>
            <c:strRef>
              <c:f>'PİVOT TABLE'!$C$3</c:f>
              <c:strCache>
                <c:ptCount val="1"/>
                <c:pt idx="0">
                  <c:v>Toplam toplam_kar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'PİVOT TABLE'!$A$4:$A$20</c:f>
              <c:strCache>
                <c:ptCount val="16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Aydin</c:v>
                </c:pt>
                <c:pt idx="4">
                  <c:v>Balikesir</c:v>
                </c:pt>
                <c:pt idx="5">
                  <c:v>Bursa</c:v>
                </c:pt>
                <c:pt idx="6">
                  <c:v>Denizli</c:v>
                </c:pt>
                <c:pt idx="7">
                  <c:v>Eskisehir</c:v>
                </c:pt>
                <c:pt idx="8">
                  <c:v>Gaziantep</c:v>
                </c:pt>
                <c:pt idx="9">
                  <c:v>Istanbul</c:v>
                </c:pt>
                <c:pt idx="10">
                  <c:v>Izmir</c:v>
                </c:pt>
                <c:pt idx="11">
                  <c:v>Kayseri</c:v>
                </c:pt>
                <c:pt idx="12">
                  <c:v>Mugla</c:v>
                </c:pt>
                <c:pt idx="13">
                  <c:v>Sakarya</c:v>
                </c:pt>
                <c:pt idx="14">
                  <c:v>Samsun</c:v>
                </c:pt>
                <c:pt idx="15">
                  <c:v>Trabzon</c:v>
                </c:pt>
              </c:strCache>
            </c:strRef>
          </c:cat>
          <c:val>
            <c:numRef>
              <c:f>'PİVOT TABLE'!$C$4:$C$20</c:f>
              <c:numCache>
                <c:formatCode>"₺"#,##0.00</c:formatCode>
                <c:ptCount val="16"/>
                <c:pt idx="0">
                  <c:v>1700</c:v>
                </c:pt>
                <c:pt idx="1">
                  <c:v>10400</c:v>
                </c:pt>
                <c:pt idx="2">
                  <c:v>4000</c:v>
                </c:pt>
                <c:pt idx="3">
                  <c:v>850</c:v>
                </c:pt>
                <c:pt idx="4">
                  <c:v>450</c:v>
                </c:pt>
                <c:pt idx="5">
                  <c:v>6600</c:v>
                </c:pt>
                <c:pt idx="6">
                  <c:v>1100</c:v>
                </c:pt>
                <c:pt idx="7">
                  <c:v>3700</c:v>
                </c:pt>
                <c:pt idx="8">
                  <c:v>1700</c:v>
                </c:pt>
                <c:pt idx="9">
                  <c:v>21500</c:v>
                </c:pt>
                <c:pt idx="10">
                  <c:v>17400</c:v>
                </c:pt>
                <c:pt idx="11">
                  <c:v>3300</c:v>
                </c:pt>
                <c:pt idx="12">
                  <c:v>5500</c:v>
                </c:pt>
                <c:pt idx="13">
                  <c:v>2300</c:v>
                </c:pt>
                <c:pt idx="14">
                  <c:v>1200</c:v>
                </c:pt>
                <c:pt idx="1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ED-41B0-82EC-DBA4799B7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38256"/>
        <c:axId val="147631312"/>
      </c:barChart>
      <c:lineChart>
        <c:grouping val="standard"/>
        <c:varyColors val="0"/>
        <c:ser>
          <c:idx val="2"/>
          <c:order val="2"/>
          <c:tx>
            <c:strRef>
              <c:f>'PİVOT TABLE'!$D$3</c:f>
              <c:strCache>
                <c:ptCount val="1"/>
                <c:pt idx="0">
                  <c:v>Toplam Gercek_Kar_Marji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'PİVOT TABLE'!$A$4:$A$20</c:f>
              <c:strCache>
                <c:ptCount val="16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Aydin</c:v>
                </c:pt>
                <c:pt idx="4">
                  <c:v>Balikesir</c:v>
                </c:pt>
                <c:pt idx="5">
                  <c:v>Bursa</c:v>
                </c:pt>
                <c:pt idx="6">
                  <c:v>Denizli</c:v>
                </c:pt>
                <c:pt idx="7">
                  <c:v>Eskisehir</c:v>
                </c:pt>
                <c:pt idx="8">
                  <c:v>Gaziantep</c:v>
                </c:pt>
                <c:pt idx="9">
                  <c:v>Istanbul</c:v>
                </c:pt>
                <c:pt idx="10">
                  <c:v>Izmir</c:v>
                </c:pt>
                <c:pt idx="11">
                  <c:v>Kayseri</c:v>
                </c:pt>
                <c:pt idx="12">
                  <c:v>Mugla</c:v>
                </c:pt>
                <c:pt idx="13">
                  <c:v>Sakarya</c:v>
                </c:pt>
                <c:pt idx="14">
                  <c:v>Samsun</c:v>
                </c:pt>
                <c:pt idx="15">
                  <c:v>Trabzon</c:v>
                </c:pt>
              </c:strCache>
            </c:strRef>
          </c:cat>
          <c:val>
            <c:numRef>
              <c:f>'PİVOT TABLE'!$D$4:$D$20</c:f>
              <c:numCache>
                <c:formatCode>0%</c:formatCode>
                <c:ptCount val="16"/>
                <c:pt idx="0">
                  <c:v>0.40476190476190477</c:v>
                </c:pt>
                <c:pt idx="1">
                  <c:v>0.23529411764705882</c:v>
                </c:pt>
                <c:pt idx="2">
                  <c:v>0.30769230769230771</c:v>
                </c:pt>
                <c:pt idx="3">
                  <c:v>0.4358974358974359</c:v>
                </c:pt>
                <c:pt idx="4">
                  <c:v>0.47368421052631576</c:v>
                </c:pt>
                <c:pt idx="5">
                  <c:v>0.33673469387755101</c:v>
                </c:pt>
                <c:pt idx="6">
                  <c:v>0.37931034482758619</c:v>
                </c:pt>
                <c:pt idx="7">
                  <c:v>0.4157303370786517</c:v>
                </c:pt>
                <c:pt idx="8">
                  <c:v>0.44736842105263158</c:v>
                </c:pt>
                <c:pt idx="9">
                  <c:v>0.24571428571428572</c:v>
                </c:pt>
                <c:pt idx="10">
                  <c:v>0.2233632862644416</c:v>
                </c:pt>
                <c:pt idx="11">
                  <c:v>0.33673469387755101</c:v>
                </c:pt>
                <c:pt idx="12">
                  <c:v>0.28205128205128205</c:v>
                </c:pt>
                <c:pt idx="13">
                  <c:v>0.39655172413793105</c:v>
                </c:pt>
                <c:pt idx="14">
                  <c:v>0.5</c:v>
                </c:pt>
                <c:pt idx="1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ED-41B0-82EC-DBA4799B7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645968"/>
        <c:axId val="62651792"/>
      </c:lineChart>
      <c:catAx>
        <c:axId val="14533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7631312"/>
        <c:crosses val="autoZero"/>
        <c:auto val="1"/>
        <c:lblAlgn val="ctr"/>
        <c:lblOffset val="100"/>
        <c:noMultiLvlLbl val="0"/>
      </c:catAx>
      <c:valAx>
        <c:axId val="1476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5338256"/>
        <c:crosses val="autoZero"/>
        <c:crossBetween val="between"/>
      </c:valAx>
      <c:valAx>
        <c:axId val="6265179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645968"/>
        <c:crosses val="max"/>
        <c:crossBetween val="between"/>
      </c:valAx>
      <c:catAx>
        <c:axId val="62645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65179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[e_ticaret_analiz2026.xlsx]PİVOT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>
                <a:effectLst/>
              </a:rPr>
              <a:t>Şehir Bazlı Satış Performansı ve Kârlılık Analizi (TL)</a:t>
            </a:r>
            <a:endParaRPr lang="tr-TR"/>
          </a:p>
        </c:rich>
      </c:tx>
      <c:layout>
        <c:manualLayout>
          <c:xMode val="edge"/>
          <c:yMode val="edge"/>
          <c:x val="1.6136739701015621E-2"/>
          <c:y val="0.12275965504311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'PİVOT TABLE'!$B$3</c:f>
              <c:strCache>
                <c:ptCount val="1"/>
                <c:pt idx="0">
                  <c:v>Toplam Toplam_Ciro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'PİVOT TABLE'!$A$4:$A$20</c:f>
              <c:strCache>
                <c:ptCount val="16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Aydin</c:v>
                </c:pt>
                <c:pt idx="4">
                  <c:v>Balikesir</c:v>
                </c:pt>
                <c:pt idx="5">
                  <c:v>Bursa</c:v>
                </c:pt>
                <c:pt idx="6">
                  <c:v>Denizli</c:v>
                </c:pt>
                <c:pt idx="7">
                  <c:v>Eskisehir</c:v>
                </c:pt>
                <c:pt idx="8">
                  <c:v>Gaziantep</c:v>
                </c:pt>
                <c:pt idx="9">
                  <c:v>Istanbul</c:v>
                </c:pt>
                <c:pt idx="10">
                  <c:v>Izmir</c:v>
                </c:pt>
                <c:pt idx="11">
                  <c:v>Kayseri</c:v>
                </c:pt>
                <c:pt idx="12">
                  <c:v>Mugla</c:v>
                </c:pt>
                <c:pt idx="13">
                  <c:v>Sakarya</c:v>
                </c:pt>
                <c:pt idx="14">
                  <c:v>Samsun</c:v>
                </c:pt>
                <c:pt idx="15">
                  <c:v>Trabzon</c:v>
                </c:pt>
              </c:strCache>
            </c:strRef>
          </c:cat>
          <c:val>
            <c:numRef>
              <c:f>'PİVOT TABLE'!$B$4:$B$20</c:f>
              <c:numCache>
                <c:formatCode>"₺"#,##0.00</c:formatCode>
                <c:ptCount val="16"/>
                <c:pt idx="0">
                  <c:v>4200</c:v>
                </c:pt>
                <c:pt idx="1">
                  <c:v>44200</c:v>
                </c:pt>
                <c:pt idx="2">
                  <c:v>13000</c:v>
                </c:pt>
                <c:pt idx="3">
                  <c:v>1950</c:v>
                </c:pt>
                <c:pt idx="4">
                  <c:v>950</c:v>
                </c:pt>
                <c:pt idx="5">
                  <c:v>19600</c:v>
                </c:pt>
                <c:pt idx="6">
                  <c:v>2900</c:v>
                </c:pt>
                <c:pt idx="7">
                  <c:v>8900</c:v>
                </c:pt>
                <c:pt idx="8">
                  <c:v>3800</c:v>
                </c:pt>
                <c:pt idx="9">
                  <c:v>87500</c:v>
                </c:pt>
                <c:pt idx="10">
                  <c:v>77900</c:v>
                </c:pt>
                <c:pt idx="11">
                  <c:v>9800</c:v>
                </c:pt>
                <c:pt idx="12">
                  <c:v>19500</c:v>
                </c:pt>
                <c:pt idx="13">
                  <c:v>5800</c:v>
                </c:pt>
                <c:pt idx="14">
                  <c:v>2400</c:v>
                </c:pt>
                <c:pt idx="15">
                  <c:v>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2-4D31-835F-8D7F15D47C51}"/>
            </c:ext>
          </c:extLst>
        </c:ser>
        <c:ser>
          <c:idx val="1"/>
          <c:order val="1"/>
          <c:tx>
            <c:strRef>
              <c:f>'PİVOT TABLE'!$C$3</c:f>
              <c:strCache>
                <c:ptCount val="1"/>
                <c:pt idx="0">
                  <c:v>Toplam toplam_kar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'PİVOT TABLE'!$A$4:$A$20</c:f>
              <c:strCache>
                <c:ptCount val="16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Aydin</c:v>
                </c:pt>
                <c:pt idx="4">
                  <c:v>Balikesir</c:v>
                </c:pt>
                <c:pt idx="5">
                  <c:v>Bursa</c:v>
                </c:pt>
                <c:pt idx="6">
                  <c:v>Denizli</c:v>
                </c:pt>
                <c:pt idx="7">
                  <c:v>Eskisehir</c:v>
                </c:pt>
                <c:pt idx="8">
                  <c:v>Gaziantep</c:v>
                </c:pt>
                <c:pt idx="9">
                  <c:v>Istanbul</c:v>
                </c:pt>
                <c:pt idx="10">
                  <c:v>Izmir</c:v>
                </c:pt>
                <c:pt idx="11">
                  <c:v>Kayseri</c:v>
                </c:pt>
                <c:pt idx="12">
                  <c:v>Mugla</c:v>
                </c:pt>
                <c:pt idx="13">
                  <c:v>Sakarya</c:v>
                </c:pt>
                <c:pt idx="14">
                  <c:v>Samsun</c:v>
                </c:pt>
                <c:pt idx="15">
                  <c:v>Trabzon</c:v>
                </c:pt>
              </c:strCache>
            </c:strRef>
          </c:cat>
          <c:val>
            <c:numRef>
              <c:f>'PİVOT TABLE'!$C$4:$C$20</c:f>
              <c:numCache>
                <c:formatCode>"₺"#,##0.00</c:formatCode>
                <c:ptCount val="16"/>
                <c:pt idx="0">
                  <c:v>1700</c:v>
                </c:pt>
                <c:pt idx="1">
                  <c:v>10400</c:v>
                </c:pt>
                <c:pt idx="2">
                  <c:v>4000</c:v>
                </c:pt>
                <c:pt idx="3">
                  <c:v>850</c:v>
                </c:pt>
                <c:pt idx="4">
                  <c:v>450</c:v>
                </c:pt>
                <c:pt idx="5">
                  <c:v>6600</c:v>
                </c:pt>
                <c:pt idx="6">
                  <c:v>1100</c:v>
                </c:pt>
                <c:pt idx="7">
                  <c:v>3700</c:v>
                </c:pt>
                <c:pt idx="8">
                  <c:v>1700</c:v>
                </c:pt>
                <c:pt idx="9">
                  <c:v>21500</c:v>
                </c:pt>
                <c:pt idx="10">
                  <c:v>17400</c:v>
                </c:pt>
                <c:pt idx="11">
                  <c:v>3300</c:v>
                </c:pt>
                <c:pt idx="12">
                  <c:v>5500</c:v>
                </c:pt>
                <c:pt idx="13">
                  <c:v>2300</c:v>
                </c:pt>
                <c:pt idx="14">
                  <c:v>1200</c:v>
                </c:pt>
                <c:pt idx="1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2-4D31-835F-8D7F15D47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10896"/>
        <c:axId val="208713392"/>
      </c:barChart>
      <c:lineChart>
        <c:grouping val="standard"/>
        <c:varyColors val="0"/>
        <c:ser>
          <c:idx val="2"/>
          <c:order val="2"/>
          <c:tx>
            <c:strRef>
              <c:f>'PİVOT TABLE'!$D$3</c:f>
              <c:strCache>
                <c:ptCount val="1"/>
                <c:pt idx="0">
                  <c:v>Toplam Gercek_Kar_Marji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'PİVOT TABLE'!$A$4:$A$20</c:f>
              <c:strCache>
                <c:ptCount val="16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Aydin</c:v>
                </c:pt>
                <c:pt idx="4">
                  <c:v>Balikesir</c:v>
                </c:pt>
                <c:pt idx="5">
                  <c:v>Bursa</c:v>
                </c:pt>
                <c:pt idx="6">
                  <c:v>Denizli</c:v>
                </c:pt>
                <c:pt idx="7">
                  <c:v>Eskisehir</c:v>
                </c:pt>
                <c:pt idx="8">
                  <c:v>Gaziantep</c:v>
                </c:pt>
                <c:pt idx="9">
                  <c:v>Istanbul</c:v>
                </c:pt>
                <c:pt idx="10">
                  <c:v>Izmir</c:v>
                </c:pt>
                <c:pt idx="11">
                  <c:v>Kayseri</c:v>
                </c:pt>
                <c:pt idx="12">
                  <c:v>Mugla</c:v>
                </c:pt>
                <c:pt idx="13">
                  <c:v>Sakarya</c:v>
                </c:pt>
                <c:pt idx="14">
                  <c:v>Samsun</c:v>
                </c:pt>
                <c:pt idx="15">
                  <c:v>Trabzon</c:v>
                </c:pt>
              </c:strCache>
            </c:strRef>
          </c:cat>
          <c:val>
            <c:numRef>
              <c:f>'PİVOT TABLE'!$D$4:$D$20</c:f>
              <c:numCache>
                <c:formatCode>0%</c:formatCode>
                <c:ptCount val="16"/>
                <c:pt idx="0">
                  <c:v>0.40476190476190477</c:v>
                </c:pt>
                <c:pt idx="1">
                  <c:v>0.23529411764705882</c:v>
                </c:pt>
                <c:pt idx="2">
                  <c:v>0.30769230769230771</c:v>
                </c:pt>
                <c:pt idx="3">
                  <c:v>0.4358974358974359</c:v>
                </c:pt>
                <c:pt idx="4">
                  <c:v>0.47368421052631576</c:v>
                </c:pt>
                <c:pt idx="5">
                  <c:v>0.33673469387755101</c:v>
                </c:pt>
                <c:pt idx="6">
                  <c:v>0.37931034482758619</c:v>
                </c:pt>
                <c:pt idx="7">
                  <c:v>0.4157303370786517</c:v>
                </c:pt>
                <c:pt idx="8">
                  <c:v>0.44736842105263158</c:v>
                </c:pt>
                <c:pt idx="9">
                  <c:v>0.24571428571428572</c:v>
                </c:pt>
                <c:pt idx="10">
                  <c:v>0.2233632862644416</c:v>
                </c:pt>
                <c:pt idx="11">
                  <c:v>0.33673469387755101</c:v>
                </c:pt>
                <c:pt idx="12">
                  <c:v>0.28205128205128205</c:v>
                </c:pt>
                <c:pt idx="13">
                  <c:v>0.39655172413793105</c:v>
                </c:pt>
                <c:pt idx="14">
                  <c:v>0.5</c:v>
                </c:pt>
                <c:pt idx="1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C2-4D31-835F-8D7F15D47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22544"/>
        <c:axId val="208720048"/>
      </c:lineChart>
      <c:catAx>
        <c:axId val="2087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8713392"/>
        <c:crosses val="autoZero"/>
        <c:auto val="1"/>
        <c:lblAlgn val="ctr"/>
        <c:lblOffset val="100"/>
        <c:noMultiLvlLbl val="0"/>
      </c:catAx>
      <c:valAx>
        <c:axId val="2087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8710896"/>
        <c:crosses val="autoZero"/>
        <c:crossBetween val="between"/>
      </c:valAx>
      <c:valAx>
        <c:axId val="20872004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8722544"/>
        <c:crosses val="max"/>
        <c:crossBetween val="between"/>
      </c:valAx>
      <c:catAx>
        <c:axId val="208722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7200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[e_ticaret_analiz2026.xlsx]Sayfa8!PivotTable6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Müşteri Portföy Dağılımı (Segment Bazlı)</a:t>
            </a:r>
            <a:endParaRPr lang="tr-TR"/>
          </a:p>
        </c:rich>
      </c:tx>
      <c:layout>
        <c:manualLayout>
          <c:xMode val="edge"/>
          <c:yMode val="edge"/>
          <c:x val="2.3319335083114606E-2"/>
          <c:y val="0.13786818314377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Sayfa8!$B$3</c:f>
              <c:strCache>
                <c:ptCount val="1"/>
                <c:pt idx="0">
                  <c:v>Say 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Sayfa8!$A$4:$A$9</c:f>
              <c:strCache>
                <c:ptCount val="5"/>
                <c:pt idx="0">
                  <c:v>Gelişmekte Olanlar</c:v>
                </c:pt>
                <c:pt idx="1">
                  <c:v>Potansiyel Müşteri</c:v>
                </c:pt>
                <c:pt idx="2">
                  <c:v>Sadık Kitle</c:v>
                </c:pt>
                <c:pt idx="3">
                  <c:v>SAMPİYON - En Değerli Müşteri</c:v>
                </c:pt>
                <c:pt idx="4">
                  <c:v>V.I.P. Destekçiler</c:v>
                </c:pt>
              </c:strCache>
            </c:strRef>
          </c:cat>
          <c:val>
            <c:numRef>
              <c:f>Sayfa8!$B$4:$B$9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F-4AFC-987D-BFB2AB1626B5}"/>
            </c:ext>
          </c:extLst>
        </c:ser>
        <c:ser>
          <c:idx val="1"/>
          <c:order val="1"/>
          <c:tx>
            <c:strRef>
              <c:f>Sayfa8!$C$3</c:f>
              <c:strCache>
                <c:ptCount val="1"/>
                <c:pt idx="0">
                  <c:v>Say soyad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Sayfa8!$A$4:$A$9</c:f>
              <c:strCache>
                <c:ptCount val="5"/>
                <c:pt idx="0">
                  <c:v>Gelişmekte Olanlar</c:v>
                </c:pt>
                <c:pt idx="1">
                  <c:v>Potansiyel Müşteri</c:v>
                </c:pt>
                <c:pt idx="2">
                  <c:v>Sadık Kitle</c:v>
                </c:pt>
                <c:pt idx="3">
                  <c:v>SAMPİYON - En Değerli Müşteri</c:v>
                </c:pt>
                <c:pt idx="4">
                  <c:v>V.I.P. Destekçiler</c:v>
                </c:pt>
              </c:strCache>
            </c:strRef>
          </c:cat>
          <c:val>
            <c:numRef>
              <c:f>Sayfa8!$C$4:$C$9</c:f>
              <c:numCache>
                <c:formatCode>General</c:formatCode>
                <c:ptCount val="5"/>
                <c:pt idx="0">
                  <c:v>10</c:v>
                </c:pt>
                <c:pt idx="1">
                  <c:v>30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F-4AFC-987D-BFB2AB162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13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österg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österg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0</xdr:row>
      <xdr:rowOff>0</xdr:rowOff>
    </xdr:from>
    <xdr:to>
      <xdr:col>14</xdr:col>
      <xdr:colOff>274320</xdr:colOff>
      <xdr:row>13</xdr:row>
      <xdr:rowOff>114300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2</xdr:row>
      <xdr:rowOff>38100</xdr:rowOff>
    </xdr:from>
    <xdr:to>
      <xdr:col>5</xdr:col>
      <xdr:colOff>297180</xdr:colOff>
      <xdr:row>15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öster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österg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0" y="4038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5</xdr:col>
      <xdr:colOff>327660</xdr:colOff>
      <xdr:row>2</xdr:row>
      <xdr:rowOff>30480</xdr:rowOff>
    </xdr:from>
    <xdr:to>
      <xdr:col>17</xdr:col>
      <xdr:colOff>22860</xdr:colOff>
      <xdr:row>16</xdr:row>
      <xdr:rowOff>137160</xdr:rowOff>
    </xdr:to>
    <xdr:graphicFrame macro="">
      <xdr:nvGraphicFramePr>
        <xdr:cNvPr id="6" name="Grafik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232410</xdr:colOff>
      <xdr:row>1</xdr:row>
      <xdr:rowOff>99060</xdr:rowOff>
    </xdr:from>
    <xdr:to>
      <xdr:col>13</xdr:col>
      <xdr:colOff>537210</xdr:colOff>
      <xdr:row>16</xdr:row>
      <xdr:rowOff>99060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129540</xdr:colOff>
      <xdr:row>1</xdr:row>
      <xdr:rowOff>114300</xdr:rowOff>
    </xdr:from>
    <xdr:to>
      <xdr:col>6</xdr:col>
      <xdr:colOff>129540</xdr:colOff>
      <xdr:row>15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usteri_unvani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usteri_unvan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5620" y="2971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049.947942013889" createdVersion="6" refreshedVersion="6" minRefreshableVersion="3" recordCount="27">
  <cacheSource type="worksheet">
    <worksheetSource name="Tablo4"/>
  </cacheSource>
  <cacheFields count="6">
    <cacheField name="sehir" numFmtId="0">
      <sharedItems count="27">
        <s v="Samsun"/>
        <s v="Balikesir"/>
        <s v="Gaziantep"/>
        <s v="Aydin"/>
        <s v="Eskisehir"/>
        <s v="Adana"/>
        <s v="Sakarya"/>
        <s v="Denizli"/>
        <s v="Kayseri"/>
        <s v="Bursa"/>
        <s v="Trabzon"/>
        <s v="Antalya"/>
        <s v="Mugla"/>
        <s v="Istanbul"/>
        <s v="Ankara"/>
        <s v="Izmir"/>
        <s v="Zonguldak"/>
        <s v="Tekirdag"/>
        <s v="Afyon"/>
        <s v="Bolu"/>
        <s v="Kocaeli"/>
        <s v="Konya"/>
        <s v="Manisa"/>
        <s v="Mersin"/>
        <s v="Duzce"/>
        <s v="Hatay"/>
        <s v="Isparta"/>
      </sharedItems>
    </cacheField>
    <cacheField name="Toplam_Ciro" numFmtId="164">
      <sharedItems containsSemiMixedTypes="0" containsString="0" containsNumber="1" containsInteger="1" minValue="0" maxValue="87500"/>
    </cacheField>
    <cacheField name="toplam_kar" numFmtId="164">
      <sharedItems containsSemiMixedTypes="0" containsString="0" containsNumber="1" containsInteger="1" minValue="0" maxValue="21500"/>
    </cacheField>
    <cacheField name="kar_marji_ham" numFmtId="9">
      <sharedItems containsMixedTypes="1" containsNumber="1" minValue="0.22339999999999999" maxValue="0.5"/>
    </cacheField>
    <cacheField name="gösterge" numFmtId="0">
      <sharedItems count="2">
        <s v="Aktif"/>
        <s v="Satış Yok / Potansiyel"/>
      </sharedItems>
    </cacheField>
    <cacheField name="Gercek_Kar_Marji" numFmtId="0" formula="toplam_kar /Toplam_Ciro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6049.972180439814" createdVersion="6" refreshedVersion="6" minRefreshableVersion="3" recordCount="50">
  <cacheSource type="worksheet">
    <worksheetSource name="Tablo7"/>
  </cacheSource>
  <cacheFields count="4">
    <cacheField name="ad" numFmtId="0">
      <sharedItems count="50">
        <s v="Mert"/>
        <s v="Can"/>
        <s v="Asli"/>
        <s v="Derya"/>
        <s v="Okan"/>
        <s v="Ece"/>
        <s v="Burak"/>
        <s v="Gokhan"/>
        <s v="Dilek"/>
        <s v="Hakan"/>
        <s v="Zeynep"/>
        <s v="Selin"/>
        <s v="Gozde"/>
        <s v="Merve"/>
        <s v="Serkan"/>
        <s v="Emre"/>
        <s v="Sinem"/>
        <s v="Murat"/>
        <s v="Pinar"/>
        <s v="Bora"/>
        <s v="Kerem"/>
        <s v="Ceren"/>
        <s v="Fatih"/>
        <s v="Gizem"/>
        <s v="Levent"/>
        <s v="Tugba"/>
        <s v="Yasin"/>
        <s v="Berna"/>
        <s v="Onur"/>
        <s v="Simge"/>
        <s v="Umut"/>
        <s v="Ezgi"/>
        <s v="Kaan"/>
        <s v="Idil"/>
        <s v="Ferit"/>
        <s v="Nihal"/>
        <s v="Sarp"/>
        <s v="Damla"/>
        <s v="Alp"/>
        <s v="Melis"/>
        <s v="Engin"/>
        <s v="Burcu"/>
        <s v="Tolga"/>
        <s v="Sila"/>
        <s v="Batuhan"/>
        <s v="Asiye"/>
        <s v="Cem"/>
        <s v="Lale"/>
        <s v="Taner"/>
        <s v="Fulya"/>
      </sharedItems>
    </cacheField>
    <cacheField name="soyad" numFmtId="0">
      <sharedItems count="50">
        <s v="Kaya"/>
        <s v="Yilmaz"/>
        <s v="Demir"/>
        <s v="Kilic"/>
        <s v="Yener"/>
        <s v="Bulut"/>
        <s v="Arslan"/>
        <s v="Tekin"/>
        <s v="Gunes"/>
        <s v="Celik"/>
        <s v="Aydin"/>
        <s v="Ozturk"/>
        <s v="Mutlu"/>
        <s v="Yildiz"/>
        <s v="Turan"/>
        <s v="Sahin"/>
        <s v="Kara"/>
        <s v="Koc"/>
        <s v="Basar"/>
        <s v="Aksu"/>
        <s v="Inan"/>
        <s v="Uysal"/>
        <s v="Ozcan"/>
        <s v="Oral"/>
        <s v="Erdem"/>
        <s v="Sert"/>
        <s v="Dal"/>
        <s v="Can"/>
        <s v="Gok"/>
        <s v="Ak"/>
        <s v="Tas"/>
        <s v="Yaz"/>
        <s v="Kurt"/>
        <s v="Sener"/>
        <s v="Alkan"/>
        <s v="Erdog"/>
        <s v="Uzun"/>
        <s v="Kose"/>
        <s v="Ozsoy"/>
        <s v="Varol"/>
        <s v="Yurt"/>
        <s v="Esen"/>
        <s v="Aksoy"/>
        <s v="Ucar"/>
        <s v="Dem"/>
        <s v="Bal"/>
        <s v="Yaman"/>
        <s v="Gul"/>
        <s v="Saka"/>
        <s v="Asas"/>
      </sharedItems>
    </cacheField>
    <cacheField name="ciro" numFmtId="164">
      <sharedItems containsSemiMixedTypes="0" containsString="0" containsNumber="1" containsInteger="1" minValue="0" maxValue="69000"/>
    </cacheField>
    <cacheField name="musteri_unvani" numFmtId="0">
      <sharedItems count="5">
        <s v="SAMPİYON - En Değerli Müşteri"/>
        <s v="V.I.P. Destekçiler"/>
        <s v="Sadık Kitle"/>
        <s v="Gelişmekte Olanlar"/>
        <s v="Potansiyel Müşteri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n v="2400"/>
    <n v="1200"/>
    <n v="0.5"/>
    <x v="0"/>
  </r>
  <r>
    <x v="1"/>
    <n v="950"/>
    <n v="450"/>
    <n v="0.47370000000000001"/>
    <x v="0"/>
  </r>
  <r>
    <x v="2"/>
    <n v="3800"/>
    <n v="1700"/>
    <n v="0.44740000000000002"/>
    <x v="0"/>
  </r>
  <r>
    <x v="3"/>
    <n v="1950"/>
    <n v="850"/>
    <n v="0.43590000000000001"/>
    <x v="0"/>
  </r>
  <r>
    <x v="4"/>
    <n v="8900"/>
    <n v="3700"/>
    <n v="0.41570000000000001"/>
    <x v="0"/>
  </r>
  <r>
    <x v="5"/>
    <n v="4200"/>
    <n v="1700"/>
    <n v="0.40479999999999999"/>
    <x v="0"/>
  </r>
  <r>
    <x v="6"/>
    <n v="5800"/>
    <n v="2300"/>
    <n v="0.39660000000000001"/>
    <x v="0"/>
  </r>
  <r>
    <x v="7"/>
    <n v="2900"/>
    <n v="1100"/>
    <n v="0.37930000000000003"/>
    <x v="0"/>
  </r>
  <r>
    <x v="8"/>
    <n v="9800"/>
    <n v="3300"/>
    <n v="0.3367"/>
    <x v="0"/>
  </r>
  <r>
    <x v="9"/>
    <n v="19600"/>
    <n v="6600"/>
    <n v="0.3367"/>
    <x v="0"/>
  </r>
  <r>
    <x v="10"/>
    <n v="16500"/>
    <n v="5500"/>
    <n v="0.33329999999999999"/>
    <x v="0"/>
  </r>
  <r>
    <x v="11"/>
    <n v="13000"/>
    <n v="4000"/>
    <n v="0.30769999999999997"/>
    <x v="0"/>
  </r>
  <r>
    <x v="12"/>
    <n v="19500"/>
    <n v="5500"/>
    <n v="0.28210000000000002"/>
    <x v="0"/>
  </r>
  <r>
    <x v="13"/>
    <n v="87500"/>
    <n v="21500"/>
    <n v="0.2457"/>
    <x v="0"/>
  </r>
  <r>
    <x v="14"/>
    <n v="44200"/>
    <n v="10400"/>
    <n v="0.23530000000000001"/>
    <x v="0"/>
  </r>
  <r>
    <x v="15"/>
    <n v="77900"/>
    <n v="17400"/>
    <n v="0.22339999999999999"/>
    <x v="0"/>
  </r>
  <r>
    <x v="16"/>
    <n v="0"/>
    <n v="0"/>
    <s v="NULL"/>
    <x v="1"/>
  </r>
  <r>
    <x v="17"/>
    <n v="0"/>
    <n v="0"/>
    <s v="NULL"/>
    <x v="1"/>
  </r>
  <r>
    <x v="18"/>
    <n v="0"/>
    <n v="0"/>
    <s v="NULL"/>
    <x v="1"/>
  </r>
  <r>
    <x v="19"/>
    <n v="0"/>
    <n v="0"/>
    <s v="NULL"/>
    <x v="1"/>
  </r>
  <r>
    <x v="20"/>
    <n v="0"/>
    <n v="0"/>
    <s v="NULL"/>
    <x v="1"/>
  </r>
  <r>
    <x v="21"/>
    <n v="0"/>
    <n v="0"/>
    <s v="NULL"/>
    <x v="1"/>
  </r>
  <r>
    <x v="22"/>
    <n v="0"/>
    <n v="0"/>
    <s v="NULL"/>
    <x v="1"/>
  </r>
  <r>
    <x v="23"/>
    <n v="0"/>
    <n v="0"/>
    <s v="NULL"/>
    <x v="1"/>
  </r>
  <r>
    <x v="24"/>
    <n v="0"/>
    <n v="0"/>
    <s v="NULL"/>
    <x v="1"/>
  </r>
  <r>
    <x v="25"/>
    <n v="0"/>
    <n v="0"/>
    <s v="NULL"/>
    <x v="1"/>
  </r>
  <r>
    <x v="26"/>
    <n v="0"/>
    <n v="0"/>
    <s v="NULL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n v="69000"/>
    <x v="0"/>
  </r>
  <r>
    <x v="1"/>
    <x v="1"/>
    <n v="58000"/>
    <x v="1"/>
  </r>
  <r>
    <x v="2"/>
    <x v="2"/>
    <n v="41000"/>
    <x v="1"/>
  </r>
  <r>
    <x v="3"/>
    <x v="3"/>
    <n v="29500"/>
    <x v="1"/>
  </r>
  <r>
    <x v="4"/>
    <x v="4"/>
    <n v="19500"/>
    <x v="1"/>
  </r>
  <r>
    <x v="5"/>
    <x v="5"/>
    <n v="16500"/>
    <x v="2"/>
  </r>
  <r>
    <x v="6"/>
    <x v="6"/>
    <n v="13000"/>
    <x v="2"/>
  </r>
  <r>
    <x v="7"/>
    <x v="7"/>
    <n v="12400"/>
    <x v="2"/>
  </r>
  <r>
    <x v="8"/>
    <x v="8"/>
    <n v="9800"/>
    <x v="2"/>
  </r>
  <r>
    <x v="9"/>
    <x v="9"/>
    <n v="8900"/>
    <x v="2"/>
  </r>
  <r>
    <x v="10"/>
    <x v="10"/>
    <n v="8900"/>
    <x v="3"/>
  </r>
  <r>
    <x v="11"/>
    <x v="11"/>
    <n v="7200"/>
    <x v="3"/>
  </r>
  <r>
    <x v="12"/>
    <x v="12"/>
    <n v="5800"/>
    <x v="3"/>
  </r>
  <r>
    <x v="13"/>
    <x v="13"/>
    <n v="4200"/>
    <x v="3"/>
  </r>
  <r>
    <x v="14"/>
    <x v="14"/>
    <n v="3800"/>
    <x v="3"/>
  </r>
  <r>
    <x v="15"/>
    <x v="15"/>
    <n v="3200"/>
    <x v="3"/>
  </r>
  <r>
    <x v="16"/>
    <x v="16"/>
    <n v="2900"/>
    <x v="3"/>
  </r>
  <r>
    <x v="17"/>
    <x v="17"/>
    <n v="2400"/>
    <x v="3"/>
  </r>
  <r>
    <x v="18"/>
    <x v="18"/>
    <n v="1950"/>
    <x v="3"/>
  </r>
  <r>
    <x v="19"/>
    <x v="19"/>
    <n v="950"/>
    <x v="3"/>
  </r>
  <r>
    <x v="20"/>
    <x v="20"/>
    <n v="0"/>
    <x v="4"/>
  </r>
  <r>
    <x v="21"/>
    <x v="21"/>
    <n v="0"/>
    <x v="4"/>
  </r>
  <r>
    <x v="22"/>
    <x v="22"/>
    <n v="0"/>
    <x v="4"/>
  </r>
  <r>
    <x v="23"/>
    <x v="23"/>
    <n v="0"/>
    <x v="4"/>
  </r>
  <r>
    <x v="24"/>
    <x v="24"/>
    <n v="0"/>
    <x v="4"/>
  </r>
  <r>
    <x v="25"/>
    <x v="25"/>
    <n v="0"/>
    <x v="4"/>
  </r>
  <r>
    <x v="26"/>
    <x v="26"/>
    <n v="0"/>
    <x v="4"/>
  </r>
  <r>
    <x v="27"/>
    <x v="27"/>
    <n v="0"/>
    <x v="4"/>
  </r>
  <r>
    <x v="28"/>
    <x v="28"/>
    <n v="0"/>
    <x v="4"/>
  </r>
  <r>
    <x v="29"/>
    <x v="29"/>
    <n v="0"/>
    <x v="4"/>
  </r>
  <r>
    <x v="30"/>
    <x v="30"/>
    <n v="0"/>
    <x v="4"/>
  </r>
  <r>
    <x v="31"/>
    <x v="31"/>
    <n v="0"/>
    <x v="4"/>
  </r>
  <r>
    <x v="32"/>
    <x v="32"/>
    <n v="0"/>
    <x v="4"/>
  </r>
  <r>
    <x v="33"/>
    <x v="33"/>
    <n v="0"/>
    <x v="4"/>
  </r>
  <r>
    <x v="34"/>
    <x v="34"/>
    <n v="0"/>
    <x v="4"/>
  </r>
  <r>
    <x v="35"/>
    <x v="35"/>
    <n v="0"/>
    <x v="4"/>
  </r>
  <r>
    <x v="36"/>
    <x v="36"/>
    <n v="0"/>
    <x v="4"/>
  </r>
  <r>
    <x v="37"/>
    <x v="37"/>
    <n v="0"/>
    <x v="4"/>
  </r>
  <r>
    <x v="38"/>
    <x v="38"/>
    <n v="0"/>
    <x v="4"/>
  </r>
  <r>
    <x v="39"/>
    <x v="39"/>
    <n v="0"/>
    <x v="4"/>
  </r>
  <r>
    <x v="40"/>
    <x v="40"/>
    <n v="0"/>
    <x v="4"/>
  </r>
  <r>
    <x v="41"/>
    <x v="41"/>
    <n v="0"/>
    <x v="4"/>
  </r>
  <r>
    <x v="42"/>
    <x v="42"/>
    <n v="0"/>
    <x v="4"/>
  </r>
  <r>
    <x v="43"/>
    <x v="43"/>
    <n v="0"/>
    <x v="4"/>
  </r>
  <r>
    <x v="44"/>
    <x v="44"/>
    <n v="0"/>
    <x v="4"/>
  </r>
  <r>
    <x v="45"/>
    <x v="45"/>
    <n v="0"/>
    <x v="4"/>
  </r>
  <r>
    <x v="46"/>
    <x v="46"/>
    <n v="0"/>
    <x v="4"/>
  </r>
  <r>
    <x v="47"/>
    <x v="47"/>
    <n v="0"/>
    <x v="4"/>
  </r>
  <r>
    <x v="48"/>
    <x v="48"/>
    <n v="0"/>
    <x v="4"/>
  </r>
  <r>
    <x v="49"/>
    <x v="49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16" applyNumberFormats="0" applyBorderFormats="0" applyFontFormats="0" applyPatternFormats="0" applyAlignmentFormats="0" applyWidthHeightFormats="1" dataCaption="Değerler" errorCaption="0" showError="1" updatedVersion="6" minRefreshableVersion="3" useAutoFormatting="1" itemPrintTitles="1" createdVersion="6" indent="0" outline="1" outlineData="1" multipleFieldFilters="0" chartFormat="5">
  <location ref="A3:D20" firstHeaderRow="0" firstDataRow="1" firstDataCol="1"/>
  <pivotFields count="6">
    <pivotField axis="axisRow" showAll="0">
      <items count="28">
        <item x="5"/>
        <item x="18"/>
        <item x="14"/>
        <item x="11"/>
        <item x="3"/>
        <item x="1"/>
        <item x="19"/>
        <item x="9"/>
        <item x="7"/>
        <item x="24"/>
        <item x="4"/>
        <item x="2"/>
        <item x="25"/>
        <item x="26"/>
        <item x="13"/>
        <item x="15"/>
        <item x="8"/>
        <item x="20"/>
        <item x="21"/>
        <item x="22"/>
        <item x="23"/>
        <item x="12"/>
        <item x="6"/>
        <item x="0"/>
        <item x="17"/>
        <item x="10"/>
        <item x="16"/>
        <item t="default"/>
      </items>
    </pivotField>
    <pivotField dataField="1" numFmtId="164" showAll="0"/>
    <pivotField dataField="1" numFmtId="164" showAll="0"/>
    <pivotField showAll="0"/>
    <pivotField showAll="0">
      <items count="3">
        <item x="0"/>
        <item h="1" x="1"/>
        <item t="default"/>
      </items>
    </pivotField>
    <pivotField dataField="1" dragToRow="0" dragToCol="0" dragToPage="0" showAll="0" defaultSubtotal="0"/>
  </pivotFields>
  <rowFields count="1">
    <field x="0"/>
  </rowFields>
  <rowItems count="17">
    <i>
      <x/>
    </i>
    <i>
      <x v="2"/>
    </i>
    <i>
      <x v="3"/>
    </i>
    <i>
      <x v="4"/>
    </i>
    <i>
      <x v="5"/>
    </i>
    <i>
      <x v="7"/>
    </i>
    <i>
      <x v="8"/>
    </i>
    <i>
      <x v="10"/>
    </i>
    <i>
      <x v="11"/>
    </i>
    <i>
      <x v="14"/>
    </i>
    <i>
      <x v="15"/>
    </i>
    <i>
      <x v="16"/>
    </i>
    <i>
      <x v="21"/>
    </i>
    <i>
      <x v="22"/>
    </i>
    <i>
      <x v="23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Toplam_Ciro" fld="1" baseField="0" baseItem="0" numFmtId="164"/>
    <dataField name="Toplam toplam_kar" fld="2" baseField="0" baseItem="0" numFmtId="164"/>
    <dataField name="Toplam Gercek_Kar_Marji" fld="5" baseField="0" baseItem="0" numFmtId="164"/>
  </dataFields>
  <formats count="2">
    <format dxfId="2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1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8">
  <location ref="A3:C9" firstHeaderRow="0" firstDataRow="1" firstDataCol="1"/>
  <pivotFields count="4">
    <pivotField dataField="1" showAll="0">
      <items count="51">
        <item x="38"/>
        <item x="45"/>
        <item x="2"/>
        <item x="44"/>
        <item x="27"/>
        <item x="19"/>
        <item x="6"/>
        <item x="41"/>
        <item x="1"/>
        <item x="46"/>
        <item x="21"/>
        <item x="37"/>
        <item x="3"/>
        <item x="8"/>
        <item x="5"/>
        <item x="15"/>
        <item x="40"/>
        <item x="31"/>
        <item x="22"/>
        <item x="34"/>
        <item x="49"/>
        <item x="23"/>
        <item x="7"/>
        <item x="12"/>
        <item x="9"/>
        <item x="33"/>
        <item x="32"/>
        <item x="20"/>
        <item x="47"/>
        <item x="24"/>
        <item x="39"/>
        <item x="0"/>
        <item x="13"/>
        <item x="17"/>
        <item x="35"/>
        <item x="4"/>
        <item x="28"/>
        <item x="18"/>
        <item x="36"/>
        <item x="11"/>
        <item x="14"/>
        <item x="43"/>
        <item x="29"/>
        <item x="16"/>
        <item x="48"/>
        <item x="42"/>
        <item x="25"/>
        <item x="30"/>
        <item x="26"/>
        <item x="10"/>
        <item t="default"/>
      </items>
    </pivotField>
    <pivotField dataField="1" showAll="0">
      <items count="51">
        <item x="29"/>
        <item x="42"/>
        <item x="19"/>
        <item x="34"/>
        <item x="6"/>
        <item x="49"/>
        <item x="10"/>
        <item x="45"/>
        <item x="18"/>
        <item x="5"/>
        <item x="27"/>
        <item x="9"/>
        <item x="26"/>
        <item x="44"/>
        <item x="2"/>
        <item x="24"/>
        <item x="35"/>
        <item x="41"/>
        <item x="28"/>
        <item x="47"/>
        <item x="8"/>
        <item x="20"/>
        <item x="16"/>
        <item x="0"/>
        <item x="3"/>
        <item x="17"/>
        <item x="37"/>
        <item x="32"/>
        <item x="12"/>
        <item x="23"/>
        <item x="22"/>
        <item x="38"/>
        <item x="11"/>
        <item x="15"/>
        <item x="48"/>
        <item x="33"/>
        <item x="25"/>
        <item x="30"/>
        <item x="7"/>
        <item x="14"/>
        <item x="43"/>
        <item x="21"/>
        <item x="36"/>
        <item x="39"/>
        <item x="46"/>
        <item x="31"/>
        <item x="4"/>
        <item x="13"/>
        <item x="1"/>
        <item x="40"/>
        <item t="default"/>
      </items>
    </pivotField>
    <pivotField numFmtId="164" showAll="0"/>
    <pivotField axis="axisRow" showAll="0">
      <items count="6">
        <item x="3"/>
        <item x="4"/>
        <item x="2"/>
        <item x="0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y ad" fld="0" subtotal="count" baseField="3" baseItem="0"/>
    <dataField name="Say soyad" fld="1" subtotal="count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gösterge" sourceName="gösterge">
  <pivotTables>
    <pivotTable tabId="5" name="PivotTable5"/>
  </pivotTables>
  <data>
    <tabular pivotCacheId="1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musteri_unvani" sourceName="musteri_unvani">
  <pivotTables>
    <pivotTable tabId="8" name="PivotTable6"/>
  </pivotTables>
  <data>
    <tabular pivotCacheId="2">
      <items count="5">
        <i x="3" s="1"/>
        <i x="4" s="1"/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österge 1" cache="Dilimleyici_gösterge" caption="gösterge" style="SlicerStyleLight4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österge" cache="Dilimleyici_gösterge" caption="gösterge" style="SlicerStyleLight4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usteri_unvani" cache="Dilimleyici_musteri_unvani" caption="musteri_unvani" style="SlicerStyleLight4" rowHeight="234950"/>
</slicers>
</file>

<file path=xl/tables/table1.xml><?xml version="1.0" encoding="utf-8"?>
<table xmlns="http://schemas.openxmlformats.org/spreadsheetml/2006/main" id="4" name="Tablo4" displayName="Tablo4" ref="A1:E28" totalsRowShown="0">
  <autoFilter ref="A1:E28"/>
  <tableColumns count="5">
    <tableColumn id="1" name="sehir"/>
    <tableColumn id="2" name="Toplam_Ciro" dataDxfId="26"/>
    <tableColumn id="3" name="toplam_kar" dataDxfId="25"/>
    <tableColumn id="4" name="kar_marji_ham" dataDxfId="23" dataCellStyle="Yüzde"/>
    <tableColumn id="5" name="gösterge" dataDxfId="24">
      <calculatedColumnFormula>IF(B2=0, "Satış Yok / Potansiyel", "Aktif")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Tablo7" displayName="Tablo7" ref="A1:D51" totalsRowShown="0">
  <autoFilter ref="A1:D51"/>
  <tableColumns count="4">
    <tableColumn id="1" name="ad"/>
    <tableColumn id="2" name="soyad"/>
    <tableColumn id="3" name="ciro" dataDxfId="0"/>
    <tableColumn id="4" name="musteri_unvan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P12" sqref="P12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0"/>
  <sheetViews>
    <sheetView topLeftCell="C1" zoomScaleNormal="100" workbookViewId="0">
      <selection activeCell="L20" sqref="L20"/>
    </sheetView>
  </sheetViews>
  <sheetFormatPr defaultRowHeight="14.4" x14ac:dyDescent="0.3"/>
  <cols>
    <col min="1" max="1" width="14.77734375" bestFit="1" customWidth="1"/>
    <col min="2" max="2" width="18.6640625" bestFit="1" customWidth="1"/>
    <col min="3" max="3" width="17.6640625" bestFit="1" customWidth="1"/>
    <col min="4" max="5" width="23.109375" bestFit="1" customWidth="1"/>
  </cols>
  <sheetData>
    <row r="3" spans="1:4" x14ac:dyDescent="0.3">
      <c r="A3" s="3" t="s">
        <v>19</v>
      </c>
      <c r="B3" t="s">
        <v>21</v>
      </c>
      <c r="C3" t="s">
        <v>22</v>
      </c>
      <c r="D3" s="1" t="s">
        <v>37</v>
      </c>
    </row>
    <row r="4" spans="1:4" x14ac:dyDescent="0.3">
      <c r="A4" s="4" t="s">
        <v>8</v>
      </c>
      <c r="B4" s="2">
        <v>4200</v>
      </c>
      <c r="C4" s="2">
        <v>1700</v>
      </c>
      <c r="D4" s="1">
        <v>0.40476190476190477</v>
      </c>
    </row>
    <row r="5" spans="1:4" x14ac:dyDescent="0.3">
      <c r="A5" s="4" t="s">
        <v>17</v>
      </c>
      <c r="B5" s="2">
        <v>44200</v>
      </c>
      <c r="C5" s="2">
        <v>10400</v>
      </c>
      <c r="D5" s="1">
        <v>0.23529411764705882</v>
      </c>
    </row>
    <row r="6" spans="1:4" x14ac:dyDescent="0.3">
      <c r="A6" s="4" t="s">
        <v>14</v>
      </c>
      <c r="B6" s="2">
        <v>13000</v>
      </c>
      <c r="C6" s="2">
        <v>4000</v>
      </c>
      <c r="D6" s="1">
        <v>0.30769230769230771</v>
      </c>
    </row>
    <row r="7" spans="1:4" x14ac:dyDescent="0.3">
      <c r="A7" s="4" t="s">
        <v>6</v>
      </c>
      <c r="B7" s="2">
        <v>1950</v>
      </c>
      <c r="C7" s="2">
        <v>850</v>
      </c>
      <c r="D7" s="1">
        <v>0.4358974358974359</v>
      </c>
    </row>
    <row r="8" spans="1:4" x14ac:dyDescent="0.3">
      <c r="A8" s="4" t="s">
        <v>4</v>
      </c>
      <c r="B8" s="2">
        <v>950</v>
      </c>
      <c r="C8" s="2">
        <v>450</v>
      </c>
      <c r="D8" s="1">
        <v>0.47368421052631576</v>
      </c>
    </row>
    <row r="9" spans="1:4" x14ac:dyDescent="0.3">
      <c r="A9" s="4" t="s">
        <v>11</v>
      </c>
      <c r="B9" s="2">
        <v>19600</v>
      </c>
      <c r="C9" s="2">
        <v>6600</v>
      </c>
      <c r="D9" s="1">
        <v>0.33673469387755101</v>
      </c>
    </row>
    <row r="10" spans="1:4" x14ac:dyDescent="0.3">
      <c r="A10" s="4" t="s">
        <v>10</v>
      </c>
      <c r="B10" s="2">
        <v>2900</v>
      </c>
      <c r="C10" s="2">
        <v>1100</v>
      </c>
      <c r="D10" s="1">
        <v>0.37931034482758619</v>
      </c>
    </row>
    <row r="11" spans="1:4" x14ac:dyDescent="0.3">
      <c r="A11" s="4" t="s">
        <v>7</v>
      </c>
      <c r="B11" s="2">
        <v>8900</v>
      </c>
      <c r="C11" s="2">
        <v>3700</v>
      </c>
      <c r="D11" s="1">
        <v>0.4157303370786517</v>
      </c>
    </row>
    <row r="12" spans="1:4" x14ac:dyDescent="0.3">
      <c r="A12" s="4" t="s">
        <v>5</v>
      </c>
      <c r="B12" s="2">
        <v>3800</v>
      </c>
      <c r="C12" s="2">
        <v>1700</v>
      </c>
      <c r="D12" s="1">
        <v>0.44736842105263158</v>
      </c>
    </row>
    <row r="13" spans="1:4" x14ac:dyDescent="0.3">
      <c r="A13" s="4" t="s">
        <v>16</v>
      </c>
      <c r="B13" s="2">
        <v>87500</v>
      </c>
      <c r="C13" s="2">
        <v>21500</v>
      </c>
      <c r="D13" s="1">
        <v>0.24571428571428572</v>
      </c>
    </row>
    <row r="14" spans="1:4" x14ac:dyDescent="0.3">
      <c r="A14" s="4" t="s">
        <v>18</v>
      </c>
      <c r="B14" s="2">
        <v>77900</v>
      </c>
      <c r="C14" s="2">
        <v>17400</v>
      </c>
      <c r="D14" s="1">
        <v>0.2233632862644416</v>
      </c>
    </row>
    <row r="15" spans="1:4" x14ac:dyDescent="0.3">
      <c r="A15" s="4" t="s">
        <v>12</v>
      </c>
      <c r="B15" s="2">
        <v>9800</v>
      </c>
      <c r="C15" s="2">
        <v>3300</v>
      </c>
      <c r="D15" s="1">
        <v>0.33673469387755101</v>
      </c>
    </row>
    <row r="16" spans="1:4" x14ac:dyDescent="0.3">
      <c r="A16" s="4" t="s">
        <v>15</v>
      </c>
      <c r="B16" s="2">
        <v>19500</v>
      </c>
      <c r="C16" s="2">
        <v>5500</v>
      </c>
      <c r="D16" s="1">
        <v>0.28205128205128205</v>
      </c>
    </row>
    <row r="17" spans="1:4" x14ac:dyDescent="0.3">
      <c r="A17" s="4" t="s">
        <v>9</v>
      </c>
      <c r="B17" s="2">
        <v>5800</v>
      </c>
      <c r="C17" s="2">
        <v>2300</v>
      </c>
      <c r="D17" s="1">
        <v>0.39655172413793105</v>
      </c>
    </row>
    <row r="18" spans="1:4" x14ac:dyDescent="0.3">
      <c r="A18" s="4" t="s">
        <v>3</v>
      </c>
      <c r="B18" s="2">
        <v>2400</v>
      </c>
      <c r="C18" s="2">
        <v>1200</v>
      </c>
      <c r="D18" s="1">
        <v>0.5</v>
      </c>
    </row>
    <row r="19" spans="1:4" x14ac:dyDescent="0.3">
      <c r="A19" s="4" t="s">
        <v>13</v>
      </c>
      <c r="B19" s="2">
        <v>16500</v>
      </c>
      <c r="C19" s="2">
        <v>5500</v>
      </c>
      <c r="D19" s="1">
        <v>0.33333333333333331</v>
      </c>
    </row>
    <row r="20" spans="1:4" x14ac:dyDescent="0.3">
      <c r="A20" s="4" t="s">
        <v>20</v>
      </c>
      <c r="B20" s="2">
        <v>318900</v>
      </c>
      <c r="C20" s="2">
        <v>87200</v>
      </c>
      <c r="D20" s="1">
        <v>0.27343994982753217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H18" sqref="H18"/>
    </sheetView>
  </sheetViews>
  <sheetFormatPr defaultRowHeight="14.4" x14ac:dyDescent="0.3"/>
  <cols>
    <col min="1" max="1" width="14" bestFit="1" customWidth="1"/>
    <col min="2" max="2" width="13.5546875" style="2" customWidth="1"/>
    <col min="3" max="3" width="12.5546875" style="2" customWidth="1"/>
    <col min="4" max="4" width="16.88671875" style="7" customWidth="1"/>
    <col min="5" max="5" width="18.44140625" style="6" bestFit="1" customWidth="1"/>
  </cols>
  <sheetData>
    <row r="1" spans="1:5" x14ac:dyDescent="0.3">
      <c r="A1" t="s">
        <v>0</v>
      </c>
      <c r="B1" t="s">
        <v>1</v>
      </c>
      <c r="C1" t="s">
        <v>2</v>
      </c>
      <c r="D1" s="7" t="s">
        <v>23</v>
      </c>
      <c r="E1" s="6" t="s">
        <v>36</v>
      </c>
    </row>
    <row r="2" spans="1:5" x14ac:dyDescent="0.3">
      <c r="A2" t="s">
        <v>3</v>
      </c>
      <c r="B2" s="2">
        <v>2400</v>
      </c>
      <c r="C2" s="2">
        <v>1200</v>
      </c>
      <c r="D2" s="7">
        <v>0.5</v>
      </c>
      <c r="E2" s="6" t="str">
        <f t="shared" ref="E2:E28" si="0">IF(B2=0, "Satış Yok / Potansiyel", "Aktif")</f>
        <v>Aktif</v>
      </c>
    </row>
    <row r="3" spans="1:5" x14ac:dyDescent="0.3">
      <c r="A3" t="s">
        <v>4</v>
      </c>
      <c r="B3" s="2">
        <v>950</v>
      </c>
      <c r="C3" s="2">
        <v>450</v>
      </c>
      <c r="D3" s="7">
        <v>0.47370000000000001</v>
      </c>
      <c r="E3" s="6" t="str">
        <f t="shared" si="0"/>
        <v>Aktif</v>
      </c>
    </row>
    <row r="4" spans="1:5" x14ac:dyDescent="0.3">
      <c r="A4" t="s">
        <v>5</v>
      </c>
      <c r="B4" s="2">
        <v>3800</v>
      </c>
      <c r="C4" s="2">
        <v>1700</v>
      </c>
      <c r="D4" s="7">
        <v>0.44740000000000002</v>
      </c>
      <c r="E4" s="6" t="str">
        <f t="shared" si="0"/>
        <v>Aktif</v>
      </c>
    </row>
    <row r="5" spans="1:5" x14ac:dyDescent="0.3">
      <c r="A5" t="s">
        <v>6</v>
      </c>
      <c r="B5" s="2">
        <v>1950</v>
      </c>
      <c r="C5" s="2">
        <v>850</v>
      </c>
      <c r="D5" s="7">
        <v>0.43590000000000001</v>
      </c>
      <c r="E5" s="6" t="str">
        <f t="shared" si="0"/>
        <v>Aktif</v>
      </c>
    </row>
    <row r="6" spans="1:5" x14ac:dyDescent="0.3">
      <c r="A6" t="s">
        <v>7</v>
      </c>
      <c r="B6" s="2">
        <v>8900</v>
      </c>
      <c r="C6" s="2">
        <v>3700</v>
      </c>
      <c r="D6" s="7">
        <v>0.41570000000000001</v>
      </c>
      <c r="E6" s="6" t="str">
        <f t="shared" si="0"/>
        <v>Aktif</v>
      </c>
    </row>
    <row r="7" spans="1:5" x14ac:dyDescent="0.3">
      <c r="A7" t="s">
        <v>8</v>
      </c>
      <c r="B7" s="2">
        <v>4200</v>
      </c>
      <c r="C7" s="2">
        <v>1700</v>
      </c>
      <c r="D7" s="7">
        <v>0.40479999999999999</v>
      </c>
      <c r="E7" s="6" t="str">
        <f t="shared" si="0"/>
        <v>Aktif</v>
      </c>
    </row>
    <row r="8" spans="1:5" x14ac:dyDescent="0.3">
      <c r="A8" t="s">
        <v>9</v>
      </c>
      <c r="B8" s="2">
        <v>5800</v>
      </c>
      <c r="C8" s="2">
        <v>2300</v>
      </c>
      <c r="D8" s="7">
        <v>0.39660000000000001</v>
      </c>
      <c r="E8" s="6" t="str">
        <f t="shared" si="0"/>
        <v>Aktif</v>
      </c>
    </row>
    <row r="9" spans="1:5" x14ac:dyDescent="0.3">
      <c r="A9" t="s">
        <v>10</v>
      </c>
      <c r="B9" s="2">
        <v>2900</v>
      </c>
      <c r="C9" s="2">
        <v>1100</v>
      </c>
      <c r="D9" s="7">
        <v>0.37930000000000003</v>
      </c>
      <c r="E9" s="6" t="str">
        <f t="shared" si="0"/>
        <v>Aktif</v>
      </c>
    </row>
    <row r="10" spans="1:5" x14ac:dyDescent="0.3">
      <c r="A10" t="s">
        <v>12</v>
      </c>
      <c r="B10" s="2">
        <v>9800</v>
      </c>
      <c r="C10" s="2">
        <v>3300</v>
      </c>
      <c r="D10" s="7">
        <v>0.3367</v>
      </c>
      <c r="E10" s="6" t="str">
        <f t="shared" si="0"/>
        <v>Aktif</v>
      </c>
    </row>
    <row r="11" spans="1:5" x14ac:dyDescent="0.3">
      <c r="A11" t="s">
        <v>11</v>
      </c>
      <c r="B11" s="2">
        <v>19600</v>
      </c>
      <c r="C11" s="2">
        <v>6600</v>
      </c>
      <c r="D11" s="7">
        <v>0.3367</v>
      </c>
      <c r="E11" s="6" t="str">
        <f t="shared" si="0"/>
        <v>Aktif</v>
      </c>
    </row>
    <row r="12" spans="1:5" x14ac:dyDescent="0.3">
      <c r="A12" t="s">
        <v>13</v>
      </c>
      <c r="B12" s="2">
        <v>16500</v>
      </c>
      <c r="C12" s="2">
        <v>5500</v>
      </c>
      <c r="D12" s="7">
        <v>0.33329999999999999</v>
      </c>
      <c r="E12" s="6" t="str">
        <f t="shared" si="0"/>
        <v>Aktif</v>
      </c>
    </row>
    <row r="13" spans="1:5" x14ac:dyDescent="0.3">
      <c r="A13" t="s">
        <v>14</v>
      </c>
      <c r="B13" s="2">
        <v>13000</v>
      </c>
      <c r="C13" s="2">
        <v>4000</v>
      </c>
      <c r="D13" s="7">
        <v>0.30769999999999997</v>
      </c>
      <c r="E13" s="6" t="str">
        <f t="shared" si="0"/>
        <v>Aktif</v>
      </c>
    </row>
    <row r="14" spans="1:5" x14ac:dyDescent="0.3">
      <c r="A14" t="s">
        <v>15</v>
      </c>
      <c r="B14" s="2">
        <v>19500</v>
      </c>
      <c r="C14" s="2">
        <v>5500</v>
      </c>
      <c r="D14" s="7">
        <v>0.28210000000000002</v>
      </c>
      <c r="E14" s="6" t="str">
        <f t="shared" si="0"/>
        <v>Aktif</v>
      </c>
    </row>
    <row r="15" spans="1:5" x14ac:dyDescent="0.3">
      <c r="A15" t="s">
        <v>16</v>
      </c>
      <c r="B15" s="2">
        <v>87500</v>
      </c>
      <c r="C15" s="2">
        <v>21500</v>
      </c>
      <c r="D15" s="7">
        <v>0.2457</v>
      </c>
      <c r="E15" s="6" t="str">
        <f t="shared" si="0"/>
        <v>Aktif</v>
      </c>
    </row>
    <row r="16" spans="1:5" x14ac:dyDescent="0.3">
      <c r="A16" t="s">
        <v>17</v>
      </c>
      <c r="B16" s="2">
        <v>44200</v>
      </c>
      <c r="C16" s="2">
        <v>10400</v>
      </c>
      <c r="D16" s="7">
        <v>0.23530000000000001</v>
      </c>
      <c r="E16" s="6" t="str">
        <f t="shared" si="0"/>
        <v>Aktif</v>
      </c>
    </row>
    <row r="17" spans="1:5" x14ac:dyDescent="0.3">
      <c r="A17" t="s">
        <v>18</v>
      </c>
      <c r="B17" s="2">
        <v>77900</v>
      </c>
      <c r="C17" s="2">
        <v>17400</v>
      </c>
      <c r="D17" s="7">
        <v>0.22339999999999999</v>
      </c>
      <c r="E17" s="6" t="str">
        <f t="shared" si="0"/>
        <v>Aktif</v>
      </c>
    </row>
    <row r="18" spans="1:5" x14ac:dyDescent="0.3">
      <c r="A18" t="s">
        <v>24</v>
      </c>
      <c r="B18" s="2">
        <v>0</v>
      </c>
      <c r="C18" s="2">
        <v>0</v>
      </c>
      <c r="D18" s="7" t="s">
        <v>25</v>
      </c>
      <c r="E18" s="6" t="str">
        <f t="shared" si="0"/>
        <v>Satış Yok / Potansiyel</v>
      </c>
    </row>
    <row r="19" spans="1:5" x14ac:dyDescent="0.3">
      <c r="A19" t="s">
        <v>26</v>
      </c>
      <c r="B19" s="2">
        <v>0</v>
      </c>
      <c r="C19" s="2">
        <v>0</v>
      </c>
      <c r="D19" s="7" t="s">
        <v>25</v>
      </c>
      <c r="E19" s="6" t="str">
        <f t="shared" si="0"/>
        <v>Satış Yok / Potansiyel</v>
      </c>
    </row>
    <row r="20" spans="1:5" x14ac:dyDescent="0.3">
      <c r="A20" t="s">
        <v>27</v>
      </c>
      <c r="B20" s="2">
        <v>0</v>
      </c>
      <c r="C20" s="2">
        <v>0</v>
      </c>
      <c r="D20" s="7" t="s">
        <v>25</v>
      </c>
      <c r="E20" s="6" t="str">
        <f t="shared" si="0"/>
        <v>Satış Yok / Potansiyel</v>
      </c>
    </row>
    <row r="21" spans="1:5" x14ac:dyDescent="0.3">
      <c r="A21" t="s">
        <v>28</v>
      </c>
      <c r="B21" s="2">
        <v>0</v>
      </c>
      <c r="C21" s="2">
        <v>0</v>
      </c>
      <c r="D21" s="7" t="s">
        <v>25</v>
      </c>
      <c r="E21" s="6" t="str">
        <f t="shared" si="0"/>
        <v>Satış Yok / Potansiyel</v>
      </c>
    </row>
    <row r="22" spans="1:5" x14ac:dyDescent="0.3">
      <c r="A22" t="s">
        <v>29</v>
      </c>
      <c r="B22" s="2">
        <v>0</v>
      </c>
      <c r="C22" s="2">
        <v>0</v>
      </c>
      <c r="D22" s="7" t="s">
        <v>25</v>
      </c>
      <c r="E22" s="6" t="str">
        <f t="shared" si="0"/>
        <v>Satış Yok / Potansiyel</v>
      </c>
    </row>
    <row r="23" spans="1:5" x14ac:dyDescent="0.3">
      <c r="A23" t="s">
        <v>30</v>
      </c>
      <c r="B23" s="2">
        <v>0</v>
      </c>
      <c r="C23" s="2">
        <v>0</v>
      </c>
      <c r="D23" s="7" t="s">
        <v>25</v>
      </c>
      <c r="E23" s="6" t="str">
        <f t="shared" si="0"/>
        <v>Satış Yok / Potansiyel</v>
      </c>
    </row>
    <row r="24" spans="1:5" x14ac:dyDescent="0.3">
      <c r="A24" t="s">
        <v>31</v>
      </c>
      <c r="B24" s="2">
        <v>0</v>
      </c>
      <c r="C24" s="2">
        <v>0</v>
      </c>
      <c r="D24" s="7" t="s">
        <v>25</v>
      </c>
      <c r="E24" s="6" t="str">
        <f t="shared" si="0"/>
        <v>Satış Yok / Potansiyel</v>
      </c>
    </row>
    <row r="25" spans="1:5" x14ac:dyDescent="0.3">
      <c r="A25" t="s">
        <v>32</v>
      </c>
      <c r="B25" s="2">
        <v>0</v>
      </c>
      <c r="C25" s="2">
        <v>0</v>
      </c>
      <c r="D25" s="7" t="s">
        <v>25</v>
      </c>
      <c r="E25" s="6" t="str">
        <f t="shared" si="0"/>
        <v>Satış Yok / Potansiyel</v>
      </c>
    </row>
    <row r="26" spans="1:5" x14ac:dyDescent="0.3">
      <c r="A26" t="s">
        <v>33</v>
      </c>
      <c r="B26" s="2">
        <v>0</v>
      </c>
      <c r="C26" s="2">
        <v>0</v>
      </c>
      <c r="D26" s="7" t="s">
        <v>25</v>
      </c>
      <c r="E26" s="6" t="str">
        <f t="shared" si="0"/>
        <v>Satış Yok / Potansiyel</v>
      </c>
    </row>
    <row r="27" spans="1:5" x14ac:dyDescent="0.3">
      <c r="A27" t="s">
        <v>34</v>
      </c>
      <c r="B27" s="2">
        <v>0</v>
      </c>
      <c r="C27" s="2">
        <v>0</v>
      </c>
      <c r="D27" s="7" t="s">
        <v>25</v>
      </c>
      <c r="E27" s="6" t="str">
        <f t="shared" si="0"/>
        <v>Satış Yok / Potansiyel</v>
      </c>
    </row>
    <row r="28" spans="1:5" x14ac:dyDescent="0.3">
      <c r="A28" t="s">
        <v>35</v>
      </c>
      <c r="B28" s="2">
        <v>0</v>
      </c>
      <c r="C28" s="2">
        <v>0</v>
      </c>
      <c r="D28" s="7" t="s">
        <v>25</v>
      </c>
      <c r="E28" s="6" t="str">
        <f t="shared" si="0"/>
        <v>Satış Yok / Potansiyel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tabSelected="1" workbookViewId="0">
      <selection activeCell="K20" sqref="K20"/>
    </sheetView>
  </sheetViews>
  <sheetFormatPr defaultRowHeight="14.4" x14ac:dyDescent="0.3"/>
  <cols>
    <col min="1" max="1" width="26.6640625" customWidth="1"/>
    <col min="2" max="2" width="6.5546875" customWidth="1"/>
    <col min="3" max="3" width="9.44140625" bestFit="1" customWidth="1"/>
  </cols>
  <sheetData>
    <row r="3" spans="1:3" x14ac:dyDescent="0.3">
      <c r="A3" s="3" t="s">
        <v>19</v>
      </c>
      <c r="B3" t="s">
        <v>145</v>
      </c>
      <c r="C3" t="s">
        <v>146</v>
      </c>
    </row>
    <row r="4" spans="1:3" x14ac:dyDescent="0.3">
      <c r="A4" s="4" t="s">
        <v>66</v>
      </c>
      <c r="B4" s="5">
        <v>10</v>
      </c>
      <c r="C4" s="5">
        <v>10</v>
      </c>
    </row>
    <row r="5" spans="1:3" x14ac:dyDescent="0.3">
      <c r="A5" s="4" t="s">
        <v>87</v>
      </c>
      <c r="B5" s="5">
        <v>30</v>
      </c>
      <c r="C5" s="5">
        <v>30</v>
      </c>
    </row>
    <row r="6" spans="1:3" x14ac:dyDescent="0.3">
      <c r="A6" s="4" t="s">
        <v>56</v>
      </c>
      <c r="B6" s="5">
        <v>5</v>
      </c>
      <c r="C6" s="5">
        <v>5</v>
      </c>
    </row>
    <row r="7" spans="1:3" x14ac:dyDescent="0.3">
      <c r="A7" s="4" t="s">
        <v>44</v>
      </c>
      <c r="B7" s="5">
        <v>1</v>
      </c>
      <c r="C7" s="5">
        <v>1</v>
      </c>
    </row>
    <row r="8" spans="1:3" x14ac:dyDescent="0.3">
      <c r="A8" s="4" t="s">
        <v>47</v>
      </c>
      <c r="B8" s="5">
        <v>4</v>
      </c>
      <c r="C8" s="5">
        <v>4</v>
      </c>
    </row>
    <row r="9" spans="1:3" x14ac:dyDescent="0.3">
      <c r="A9" s="4" t="s">
        <v>20</v>
      </c>
      <c r="B9" s="5">
        <v>50</v>
      </c>
      <c r="C9" s="5">
        <v>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2" workbookViewId="0">
      <selection activeCell="C14" sqref="C14"/>
    </sheetView>
  </sheetViews>
  <sheetFormatPr defaultRowHeight="14.4" x14ac:dyDescent="0.3"/>
  <cols>
    <col min="3" max="3" width="10" style="2" bestFit="1" customWidth="1"/>
    <col min="4" max="4" width="26.6640625" bestFit="1" customWidth="1"/>
  </cols>
  <sheetData>
    <row r="1" spans="1:4" x14ac:dyDescent="0.3">
      <c r="A1" t="s">
        <v>38</v>
      </c>
      <c r="B1" t="s">
        <v>39</v>
      </c>
      <c r="C1" s="2" t="s">
        <v>40</v>
      </c>
      <c r="D1" t="s">
        <v>41</v>
      </c>
    </row>
    <row r="2" spans="1:4" x14ac:dyDescent="0.3">
      <c r="A2" t="s">
        <v>42</v>
      </c>
      <c r="B2" t="s">
        <v>43</v>
      </c>
      <c r="C2" s="2">
        <v>69000</v>
      </c>
      <c r="D2" t="s">
        <v>44</v>
      </c>
    </row>
    <row r="3" spans="1:4" x14ac:dyDescent="0.3">
      <c r="A3" t="s">
        <v>45</v>
      </c>
      <c r="B3" t="s">
        <v>46</v>
      </c>
      <c r="C3" s="2">
        <v>58000</v>
      </c>
      <c r="D3" t="s">
        <v>47</v>
      </c>
    </row>
    <row r="4" spans="1:4" x14ac:dyDescent="0.3">
      <c r="A4" t="s">
        <v>48</v>
      </c>
      <c r="B4" t="s">
        <v>49</v>
      </c>
      <c r="C4" s="2">
        <v>41000</v>
      </c>
      <c r="D4" t="s">
        <v>47</v>
      </c>
    </row>
    <row r="5" spans="1:4" x14ac:dyDescent="0.3">
      <c r="A5" t="s">
        <v>50</v>
      </c>
      <c r="B5" t="s">
        <v>51</v>
      </c>
      <c r="C5" s="2">
        <v>29500</v>
      </c>
      <c r="D5" t="s">
        <v>47</v>
      </c>
    </row>
    <row r="6" spans="1:4" x14ac:dyDescent="0.3">
      <c r="A6" t="s">
        <v>52</v>
      </c>
      <c r="B6" t="s">
        <v>53</v>
      </c>
      <c r="C6" s="2">
        <v>19500</v>
      </c>
      <c r="D6" t="s">
        <v>47</v>
      </c>
    </row>
    <row r="7" spans="1:4" x14ac:dyDescent="0.3">
      <c r="A7" t="s">
        <v>54</v>
      </c>
      <c r="B7" t="s">
        <v>55</v>
      </c>
      <c r="C7" s="2">
        <v>16500</v>
      </c>
      <c r="D7" t="s">
        <v>56</v>
      </c>
    </row>
    <row r="8" spans="1:4" x14ac:dyDescent="0.3">
      <c r="A8" t="s">
        <v>57</v>
      </c>
      <c r="B8" t="s">
        <v>58</v>
      </c>
      <c r="C8" s="2">
        <v>13000</v>
      </c>
      <c r="D8" t="s">
        <v>56</v>
      </c>
    </row>
    <row r="9" spans="1:4" x14ac:dyDescent="0.3">
      <c r="A9" t="s">
        <v>59</v>
      </c>
      <c r="B9" t="s">
        <v>60</v>
      </c>
      <c r="C9" s="2">
        <v>12400</v>
      </c>
      <c r="D9" t="s">
        <v>56</v>
      </c>
    </row>
    <row r="10" spans="1:4" x14ac:dyDescent="0.3">
      <c r="A10" t="s">
        <v>61</v>
      </c>
      <c r="B10" t="s">
        <v>62</v>
      </c>
      <c r="C10" s="2">
        <v>9800</v>
      </c>
      <c r="D10" t="s">
        <v>56</v>
      </c>
    </row>
    <row r="11" spans="1:4" x14ac:dyDescent="0.3">
      <c r="A11" t="s">
        <v>64</v>
      </c>
      <c r="B11" t="s">
        <v>65</v>
      </c>
      <c r="C11" s="2">
        <v>8900</v>
      </c>
      <c r="D11" t="s">
        <v>56</v>
      </c>
    </row>
    <row r="12" spans="1:4" x14ac:dyDescent="0.3">
      <c r="A12" t="s">
        <v>63</v>
      </c>
      <c r="B12" t="s">
        <v>6</v>
      </c>
      <c r="C12" s="2">
        <v>8900</v>
      </c>
      <c r="D12" t="s">
        <v>66</v>
      </c>
    </row>
    <row r="13" spans="1:4" x14ac:dyDescent="0.3">
      <c r="A13" t="s">
        <v>67</v>
      </c>
      <c r="B13" t="s">
        <v>68</v>
      </c>
      <c r="C13" s="2">
        <v>7200</v>
      </c>
      <c r="D13" t="s">
        <v>66</v>
      </c>
    </row>
    <row r="14" spans="1:4" x14ac:dyDescent="0.3">
      <c r="A14" t="s">
        <v>69</v>
      </c>
      <c r="B14" t="s">
        <v>70</v>
      </c>
      <c r="C14" s="2">
        <v>5800</v>
      </c>
      <c r="D14" t="s">
        <v>66</v>
      </c>
    </row>
    <row r="15" spans="1:4" x14ac:dyDescent="0.3">
      <c r="A15" t="s">
        <v>71</v>
      </c>
      <c r="B15" t="s">
        <v>72</v>
      </c>
      <c r="C15" s="2">
        <v>4200</v>
      </c>
      <c r="D15" t="s">
        <v>66</v>
      </c>
    </row>
    <row r="16" spans="1:4" x14ac:dyDescent="0.3">
      <c r="A16" t="s">
        <v>73</v>
      </c>
      <c r="B16" t="s">
        <v>74</v>
      </c>
      <c r="C16" s="2">
        <v>3800</v>
      </c>
      <c r="D16" t="s">
        <v>66</v>
      </c>
    </row>
    <row r="17" spans="1:4" x14ac:dyDescent="0.3">
      <c r="A17" t="s">
        <v>75</v>
      </c>
      <c r="B17" t="s">
        <v>76</v>
      </c>
      <c r="C17" s="2">
        <v>3200</v>
      </c>
      <c r="D17" t="s">
        <v>66</v>
      </c>
    </row>
    <row r="18" spans="1:4" x14ac:dyDescent="0.3">
      <c r="A18" t="s">
        <v>77</v>
      </c>
      <c r="B18" t="s">
        <v>78</v>
      </c>
      <c r="C18" s="2">
        <v>2900</v>
      </c>
      <c r="D18" t="s">
        <v>66</v>
      </c>
    </row>
    <row r="19" spans="1:4" x14ac:dyDescent="0.3">
      <c r="A19" t="s">
        <v>79</v>
      </c>
      <c r="B19" t="s">
        <v>80</v>
      </c>
      <c r="C19" s="2">
        <v>2400</v>
      </c>
      <c r="D19" t="s">
        <v>66</v>
      </c>
    </row>
    <row r="20" spans="1:4" x14ac:dyDescent="0.3">
      <c r="A20" t="s">
        <v>81</v>
      </c>
      <c r="B20" t="s">
        <v>82</v>
      </c>
      <c r="C20" s="2">
        <v>1950</v>
      </c>
      <c r="D20" t="s">
        <v>66</v>
      </c>
    </row>
    <row r="21" spans="1:4" x14ac:dyDescent="0.3">
      <c r="A21" t="s">
        <v>83</v>
      </c>
      <c r="B21" t="s">
        <v>84</v>
      </c>
      <c r="C21" s="2">
        <v>950</v>
      </c>
      <c r="D21" t="s">
        <v>66</v>
      </c>
    </row>
    <row r="22" spans="1:4" x14ac:dyDescent="0.3">
      <c r="A22" t="s">
        <v>85</v>
      </c>
      <c r="B22" t="s">
        <v>86</v>
      </c>
      <c r="C22" s="2">
        <v>0</v>
      </c>
      <c r="D22" t="s">
        <v>87</v>
      </c>
    </row>
    <row r="23" spans="1:4" x14ac:dyDescent="0.3">
      <c r="A23" t="s">
        <v>88</v>
      </c>
      <c r="B23" t="s">
        <v>89</v>
      </c>
      <c r="C23" s="2">
        <v>0</v>
      </c>
      <c r="D23" t="s">
        <v>87</v>
      </c>
    </row>
    <row r="24" spans="1:4" x14ac:dyDescent="0.3">
      <c r="A24" t="s">
        <v>90</v>
      </c>
      <c r="B24" t="s">
        <v>91</v>
      </c>
      <c r="C24" s="2">
        <v>0</v>
      </c>
      <c r="D24" t="s">
        <v>87</v>
      </c>
    </row>
    <row r="25" spans="1:4" x14ac:dyDescent="0.3">
      <c r="A25" t="s">
        <v>92</v>
      </c>
      <c r="B25" t="s">
        <v>93</v>
      </c>
      <c r="C25" s="2">
        <v>0</v>
      </c>
      <c r="D25" t="s">
        <v>87</v>
      </c>
    </row>
    <row r="26" spans="1:4" x14ac:dyDescent="0.3">
      <c r="A26" t="s">
        <v>94</v>
      </c>
      <c r="B26" t="s">
        <v>95</v>
      </c>
      <c r="C26" s="2">
        <v>0</v>
      </c>
      <c r="D26" t="s">
        <v>87</v>
      </c>
    </row>
    <row r="27" spans="1:4" x14ac:dyDescent="0.3">
      <c r="A27" t="s">
        <v>96</v>
      </c>
      <c r="B27" t="s">
        <v>97</v>
      </c>
      <c r="C27" s="2">
        <v>0</v>
      </c>
      <c r="D27" t="s">
        <v>87</v>
      </c>
    </row>
    <row r="28" spans="1:4" x14ac:dyDescent="0.3">
      <c r="A28" t="s">
        <v>98</v>
      </c>
      <c r="B28" t="s">
        <v>99</v>
      </c>
      <c r="C28" s="2">
        <v>0</v>
      </c>
      <c r="D28" t="s">
        <v>87</v>
      </c>
    </row>
    <row r="29" spans="1:4" x14ac:dyDescent="0.3">
      <c r="A29" t="s">
        <v>100</v>
      </c>
      <c r="B29" t="s">
        <v>45</v>
      </c>
      <c r="C29" s="2">
        <v>0</v>
      </c>
      <c r="D29" t="s">
        <v>87</v>
      </c>
    </row>
    <row r="30" spans="1:4" x14ac:dyDescent="0.3">
      <c r="A30" t="s">
        <v>101</v>
      </c>
      <c r="B30" t="s">
        <v>102</v>
      </c>
      <c r="C30" s="2">
        <v>0</v>
      </c>
      <c r="D30" t="s">
        <v>87</v>
      </c>
    </row>
    <row r="31" spans="1:4" x14ac:dyDescent="0.3">
      <c r="A31" t="s">
        <v>103</v>
      </c>
      <c r="B31" t="s">
        <v>104</v>
      </c>
      <c r="C31" s="2">
        <v>0</v>
      </c>
      <c r="D31" t="s">
        <v>87</v>
      </c>
    </row>
    <row r="32" spans="1:4" x14ac:dyDescent="0.3">
      <c r="A32" t="s">
        <v>105</v>
      </c>
      <c r="B32" t="s">
        <v>106</v>
      </c>
      <c r="C32" s="2">
        <v>0</v>
      </c>
      <c r="D32" t="s">
        <v>87</v>
      </c>
    </row>
    <row r="33" spans="1:4" x14ac:dyDescent="0.3">
      <c r="A33" t="s">
        <v>107</v>
      </c>
      <c r="B33" t="s">
        <v>108</v>
      </c>
      <c r="C33" s="2">
        <v>0</v>
      </c>
      <c r="D33" t="s">
        <v>87</v>
      </c>
    </row>
    <row r="34" spans="1:4" x14ac:dyDescent="0.3">
      <c r="A34" t="s">
        <v>109</v>
      </c>
      <c r="B34" t="s">
        <v>110</v>
      </c>
      <c r="C34" s="2">
        <v>0</v>
      </c>
      <c r="D34" t="s">
        <v>87</v>
      </c>
    </row>
    <row r="35" spans="1:4" x14ac:dyDescent="0.3">
      <c r="A35" t="s">
        <v>111</v>
      </c>
      <c r="B35" t="s">
        <v>112</v>
      </c>
      <c r="C35" s="2">
        <v>0</v>
      </c>
      <c r="D35" t="s">
        <v>87</v>
      </c>
    </row>
    <row r="36" spans="1:4" x14ac:dyDescent="0.3">
      <c r="A36" t="s">
        <v>113</v>
      </c>
      <c r="B36" t="s">
        <v>114</v>
      </c>
      <c r="C36" s="2">
        <v>0</v>
      </c>
      <c r="D36" t="s">
        <v>87</v>
      </c>
    </row>
    <row r="37" spans="1:4" x14ac:dyDescent="0.3">
      <c r="A37" t="s">
        <v>115</v>
      </c>
      <c r="B37" t="s">
        <v>116</v>
      </c>
      <c r="C37" s="2">
        <v>0</v>
      </c>
      <c r="D37" t="s">
        <v>87</v>
      </c>
    </row>
    <row r="38" spans="1:4" x14ac:dyDescent="0.3">
      <c r="A38" t="s">
        <v>117</v>
      </c>
      <c r="B38" t="s">
        <v>118</v>
      </c>
      <c r="C38" s="2">
        <v>0</v>
      </c>
      <c r="D38" t="s">
        <v>87</v>
      </c>
    </row>
    <row r="39" spans="1:4" x14ac:dyDescent="0.3">
      <c r="A39" t="s">
        <v>119</v>
      </c>
      <c r="B39" t="s">
        <v>120</v>
      </c>
      <c r="C39" s="2">
        <v>0</v>
      </c>
      <c r="D39" t="s">
        <v>87</v>
      </c>
    </row>
    <row r="40" spans="1:4" x14ac:dyDescent="0.3">
      <c r="A40" t="s">
        <v>121</v>
      </c>
      <c r="B40" t="s">
        <v>122</v>
      </c>
      <c r="C40" s="2">
        <v>0</v>
      </c>
      <c r="D40" t="s">
        <v>87</v>
      </c>
    </row>
    <row r="41" spans="1:4" x14ac:dyDescent="0.3">
      <c r="A41" t="s">
        <v>123</v>
      </c>
      <c r="B41" t="s">
        <v>124</v>
      </c>
      <c r="C41" s="2">
        <v>0</v>
      </c>
      <c r="D41" t="s">
        <v>87</v>
      </c>
    </row>
    <row r="42" spans="1:4" x14ac:dyDescent="0.3">
      <c r="A42" t="s">
        <v>125</v>
      </c>
      <c r="B42" t="s">
        <v>126</v>
      </c>
      <c r="C42" s="2">
        <v>0</v>
      </c>
      <c r="D42" t="s">
        <v>87</v>
      </c>
    </row>
    <row r="43" spans="1:4" x14ac:dyDescent="0.3">
      <c r="A43" t="s">
        <v>127</v>
      </c>
      <c r="B43" t="s">
        <v>128</v>
      </c>
      <c r="C43" s="2">
        <v>0</v>
      </c>
      <c r="D43" t="s">
        <v>87</v>
      </c>
    </row>
    <row r="44" spans="1:4" x14ac:dyDescent="0.3">
      <c r="A44" t="s">
        <v>129</v>
      </c>
      <c r="B44" t="s">
        <v>130</v>
      </c>
      <c r="C44" s="2">
        <v>0</v>
      </c>
      <c r="D44" t="s">
        <v>87</v>
      </c>
    </row>
    <row r="45" spans="1:4" x14ac:dyDescent="0.3">
      <c r="A45" t="s">
        <v>131</v>
      </c>
      <c r="B45" t="s">
        <v>132</v>
      </c>
      <c r="C45" s="2">
        <v>0</v>
      </c>
      <c r="D45" t="s">
        <v>87</v>
      </c>
    </row>
    <row r="46" spans="1:4" x14ac:dyDescent="0.3">
      <c r="A46" t="s">
        <v>133</v>
      </c>
      <c r="B46" t="s">
        <v>134</v>
      </c>
      <c r="C46" s="2">
        <v>0</v>
      </c>
      <c r="D46" t="s">
        <v>87</v>
      </c>
    </row>
    <row r="47" spans="1:4" x14ac:dyDescent="0.3">
      <c r="A47" t="s">
        <v>135</v>
      </c>
      <c r="B47" t="s">
        <v>136</v>
      </c>
      <c r="C47" s="2">
        <v>0</v>
      </c>
      <c r="D47" t="s">
        <v>87</v>
      </c>
    </row>
    <row r="48" spans="1:4" x14ac:dyDescent="0.3">
      <c r="A48" t="s">
        <v>137</v>
      </c>
      <c r="B48" t="s">
        <v>138</v>
      </c>
      <c r="C48" s="2">
        <v>0</v>
      </c>
      <c r="D48" t="s">
        <v>87</v>
      </c>
    </row>
    <row r="49" spans="1:4" x14ac:dyDescent="0.3">
      <c r="A49" t="s">
        <v>139</v>
      </c>
      <c r="B49" t="s">
        <v>140</v>
      </c>
      <c r="C49" s="2">
        <v>0</v>
      </c>
      <c r="D49" t="s">
        <v>87</v>
      </c>
    </row>
    <row r="50" spans="1:4" x14ac:dyDescent="0.3">
      <c r="A50" t="s">
        <v>141</v>
      </c>
      <c r="B50" t="s">
        <v>142</v>
      </c>
      <c r="C50" s="2">
        <v>0</v>
      </c>
      <c r="D50" t="s">
        <v>87</v>
      </c>
    </row>
    <row r="51" spans="1:4" x14ac:dyDescent="0.3">
      <c r="A51" t="s">
        <v>143</v>
      </c>
      <c r="B51" t="s">
        <v>144</v>
      </c>
      <c r="C51" s="2">
        <v>0</v>
      </c>
      <c r="D51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DASHBOARD</vt:lpstr>
      <vt:lpstr>PİVOT TABLE</vt:lpstr>
      <vt:lpstr>Sayfa1</vt:lpstr>
      <vt:lpstr>Sayfa8</vt:lpstr>
      <vt:lpstr>Sayfa7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2026-01-27T18:34:15Z</dcterms:created>
  <dcterms:modified xsi:type="dcterms:W3CDTF">2026-01-27T20:31:07Z</dcterms:modified>
</cp:coreProperties>
</file>